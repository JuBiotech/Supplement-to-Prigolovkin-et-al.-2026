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lss-bandits\screenings\round_1\"/>
    </mc:Choice>
  </mc:AlternateContent>
  <bookViews>
    <workbookView xWindow="0" yWindow="0" windowWidth="28800" windowHeight="13980" activeTab="4"/>
  </bookViews>
  <sheets>
    <sheet name="meta" sheetId="5" r:id="rId1"/>
    <sheet name="biolectorlayout" sheetId="1" r:id="rId2"/>
    <sheet name="sGFPlayout" sheetId="2" r:id="rId3"/>
    <sheet name="sGFPstandards" sheetId="4" r:id="rId4"/>
    <sheet name="turbiditylayout" sheetId="11" r:id="rId5"/>
    <sheet name="turbiditystandards" sheetId="9" r:id="rId6"/>
  </sheets>
  <definedNames>
    <definedName name="run_id">Table4[value]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</calcChain>
</file>

<file path=xl/sharedStrings.xml><?xml version="1.0" encoding="utf-8"?>
<sst xmlns="http://schemas.openxmlformats.org/spreadsheetml/2006/main" count="907" uniqueCount="231">
  <si>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</si>
  <si>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</si>
  <si>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</si>
  <si>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</si>
  <si>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</si>
  <si>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</si>
  <si>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</si>
  <si>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</si>
  <si>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</si>
  <si>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</si>
  <si>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</si>
  <si>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</si>
  <si>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</si>
  <si>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</si>
  <si>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</si>
  <si>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</si>
  <si>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</si>
  <si>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</si>
  <si>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</si>
  <si>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</si>
  <si>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</si>
  <si>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</si>
  <si>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</si>
  <si>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</si>
  <si>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</si>
  <si>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</si>
  <si>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</si>
  <si>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</si>
  <si>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</si>
  <si>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</si>
  <si>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</si>
  <si>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</si>
  <si>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</si>
  <si>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</si>
  <si>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</si>
  <si>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</si>
  <si>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</si>
  <si>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</si>
  <si>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</si>
  <si>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</si>
  <si>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</si>
  <si>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</si>
  <si>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</si>
  <si>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</si>
  <si>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</si>
  <si>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</si>
  <si>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</si>
  <si>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</si>
  <si>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VK</t>
  </si>
  <si>
    <t>HK</t>
  </si>
  <si>
    <t xml:space="preserve">CGXII </t>
  </si>
  <si>
    <t xml:space="preserve">pCMEx8-Bpr-Lss-GFP11  </t>
  </si>
  <si>
    <t xml:space="preserve">pCMEx8-YoaW-Lss-Stop  </t>
  </si>
  <si>
    <t>pCMEx8-YwaD-DeimLss-GFP11</t>
  </si>
  <si>
    <t xml:space="preserve">pCMEx8-Epr-Lss-GFP11  </t>
  </si>
  <si>
    <t xml:space="preserve">pCMEx8-YolA-Lss-Stop  </t>
  </si>
  <si>
    <t xml:space="preserve">pCMEx8-LipA-DeimLss-Stop  </t>
  </si>
  <si>
    <t xml:space="preserve">pCMEx8-NprB-Lss-GFP11    </t>
  </si>
  <si>
    <t xml:space="preserve">pCMEx8-CwlS-DeimLss-GFP11  </t>
  </si>
  <si>
    <t xml:space="preserve">pCMEx8-LipB-DeimLss-Stop  </t>
  </si>
  <si>
    <t xml:space="preserve">pCMEx8-YncM-Lss-GFP11  </t>
  </si>
  <si>
    <t xml:space="preserve">pCMEx8-LipA-DeimLss-GFP11  </t>
  </si>
  <si>
    <t xml:space="preserve">pCMEx8-Pel-DeimLss-Stop  </t>
  </si>
  <si>
    <t xml:space="preserve">pCMEx8-LipA-Lss-Stop  </t>
  </si>
  <si>
    <t xml:space="preserve">pCMEx8-PelB-DeimLss-GFP11  </t>
  </si>
  <si>
    <t xml:space="preserve">pCMEx8-YoaW-DeimLss-Stop  </t>
  </si>
  <si>
    <t xml:space="preserve">pCMEx8-LipB-Lss-Stop  </t>
  </si>
  <si>
    <t xml:space="preserve">pCMEx8-PhoB-DeimLss-GFP11    </t>
  </si>
  <si>
    <t xml:space="preserve">pCMEx8-YpjP-DeimLss-Stop  </t>
  </si>
  <si>
    <t>pCMEx8-Mpr-Lss-Stop</t>
  </si>
  <si>
    <t xml:space="preserve">pCMEx8-Vpr-DeimLss-GFP11  </t>
  </si>
  <si>
    <t xml:space="preserve">pCMEx8-YwaD-DeimLss-Stop  </t>
  </si>
  <si>
    <t xml:space="preserve">pCMEx8-NprE-Lss-Stop  </t>
  </si>
  <si>
    <t xml:space="preserve">pCMEx8-YncM-DeimLss-GFP11  </t>
  </si>
  <si>
    <t>pCMEx8-NprE-Cutinase</t>
  </si>
  <si>
    <t>A09</t>
  </si>
  <si>
    <t>A10</t>
  </si>
  <si>
    <t>A11</t>
  </si>
  <si>
    <t>A12</t>
  </si>
  <si>
    <t>B09</t>
  </si>
  <si>
    <t>B10</t>
  </si>
  <si>
    <t>B11</t>
  </si>
  <si>
    <t>B12</t>
  </si>
  <si>
    <t>C09</t>
  </si>
  <si>
    <t>C10</t>
  </si>
  <si>
    <t>C11</t>
  </si>
  <si>
    <t>C12</t>
  </si>
  <si>
    <t>D09</t>
  </si>
  <si>
    <t>D10</t>
  </si>
  <si>
    <t>D11</t>
  </si>
  <si>
    <t>D12</t>
  </si>
  <si>
    <t>E09</t>
  </si>
  <si>
    <t>E10</t>
  </si>
  <si>
    <t>E11</t>
  </si>
  <si>
    <t>E12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</si>
  <si>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</si>
  <si>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</si>
  <si>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</si>
  <si>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</si>
  <si>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</si>
  <si>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</si>
  <si>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</si>
  <si>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</si>
  <si>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</si>
  <si>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</si>
  <si>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</si>
  <si>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</si>
  <si>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</si>
  <si>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</si>
  <si>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</si>
  <si>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</si>
  <si>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</si>
  <si>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</si>
  <si>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</si>
  <si>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</si>
  <si>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</si>
  <si>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</si>
  <si>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</si>
  <si>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</si>
  <si>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</si>
  <si>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</si>
  <si>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</si>
  <si>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</si>
  <si>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Std 5 µM</t>
  </si>
  <si>
    <t>Std 2.5 µM</t>
  </si>
  <si>
    <t>Std 1.25 µM</t>
  </si>
  <si>
    <t>Std 0.625 µM</t>
  </si>
  <si>
    <t>Std 0.316 µM</t>
  </si>
  <si>
    <t>Std 0.156 µM</t>
  </si>
  <si>
    <t>Std 0.078 µM</t>
  </si>
  <si>
    <t>Std 0.039 µM</t>
  </si>
  <si>
    <t>Bpr</t>
  </si>
  <si>
    <t>Lss</t>
  </si>
  <si>
    <t>GFP11</t>
  </si>
  <si>
    <t>Mpr</t>
  </si>
  <si>
    <t>PelB</t>
  </si>
  <si>
    <t>DeimLss</t>
  </si>
  <si>
    <t>LipB</t>
  </si>
  <si>
    <t>Epr</t>
  </si>
  <si>
    <t>NprE</t>
  </si>
  <si>
    <t>PhoB</t>
  </si>
  <si>
    <t>Pel</t>
  </si>
  <si>
    <t>NprB</t>
  </si>
  <si>
    <t>YoaW</t>
  </si>
  <si>
    <t>Vpr</t>
  </si>
  <si>
    <t>YncM</t>
  </si>
  <si>
    <t>YolA</t>
  </si>
  <si>
    <t>YpjP</t>
  </si>
  <si>
    <t>LipA</t>
  </si>
  <si>
    <t>CwlS</t>
  </si>
  <si>
    <t>YwaD</t>
  </si>
  <si>
    <t>pCMEx8-NprE-Cutinase-GFP11</t>
  </si>
  <si>
    <t>Cutinase</t>
  </si>
  <si>
    <t>signal_peptide</t>
  </si>
  <si>
    <t>insert</t>
  </si>
  <si>
    <t>tag</t>
  </si>
  <si>
    <t>notag</t>
  </si>
  <si>
    <t>fp_well</t>
  </si>
  <si>
    <t>medium</t>
  </si>
  <si>
    <t>culture</t>
  </si>
  <si>
    <t>plasmid</t>
  </si>
  <si>
    <t>sgfp_well</t>
  </si>
  <si>
    <t>sample_id</t>
  </si>
  <si>
    <t>run_id</t>
  </si>
  <si>
    <t>LNFABB</t>
  </si>
  <si>
    <t>key</t>
  </si>
  <si>
    <t>value</t>
  </si>
  <si>
    <t>content</t>
  </si>
  <si>
    <t>LNFABB.A02</t>
  </si>
  <si>
    <t>LNFABB.A04</t>
  </si>
  <si>
    <t>LNFABB.A05</t>
  </si>
  <si>
    <t>LNFABB.A07</t>
  </si>
  <si>
    <t>LNFABB.B02</t>
  </si>
  <si>
    <t>LNFABB.B04</t>
  </si>
  <si>
    <t>LNFABB.B05</t>
  </si>
  <si>
    <t>LNFABB.B07</t>
  </si>
  <si>
    <t>LNFABB.C02</t>
  </si>
  <si>
    <t>LNFABB.C04</t>
  </si>
  <si>
    <t>LNFABB.C05</t>
  </si>
  <si>
    <t>LNFABB.C07</t>
  </si>
  <si>
    <t>LNFABB.D02</t>
  </si>
  <si>
    <t>LNFABB.D04</t>
  </si>
  <si>
    <t>LNFABB.D05</t>
  </si>
  <si>
    <t>LNFABB.D07</t>
  </si>
  <si>
    <t>LNFABB.E02</t>
  </si>
  <si>
    <t>LNFABB.E04</t>
  </si>
  <si>
    <t>LNFABB.E05</t>
  </si>
  <si>
    <t>LNFABB.E07</t>
  </si>
  <si>
    <t>LNFABB.F02</t>
  </si>
  <si>
    <t>LNFABB.F04</t>
  </si>
  <si>
    <t>LNFABB.F05</t>
  </si>
  <si>
    <t>LNFABB.F07</t>
  </si>
  <si>
    <t>sample_type</t>
  </si>
  <si>
    <t>Standard</t>
  </si>
  <si>
    <t>xSample</t>
  </si>
  <si>
    <t>gfp_concentration</t>
  </si>
  <si>
    <t>turbidity_well</t>
  </si>
  <si>
    <t>dilution_factor</t>
  </si>
  <si>
    <t>pCMEx8-Bpr-Lss-GFP11</t>
  </si>
  <si>
    <t>pCMEx8-YoaW-Lss-Stop</t>
  </si>
  <si>
    <t>pCMEx8-Epr-Lss-GFP11</t>
  </si>
  <si>
    <t>pCMEx8-YolA-Lss-Stop</t>
  </si>
  <si>
    <t>pCMEx8-LipA-DeimLss-Stop</t>
  </si>
  <si>
    <t>pCMEx8-NprB-Lss-GFP11</t>
  </si>
  <si>
    <t>pCMEx8-CwlS-DeimLss-GFP11</t>
  </si>
  <si>
    <t>pCMEx8-LipB-DeimLss-Stop</t>
  </si>
  <si>
    <t>pCMEx8-YncM-Lss-GFP11</t>
  </si>
  <si>
    <t>pCMEx8-LipA-DeimLss-GFP11</t>
  </si>
  <si>
    <t>pCMEx8-Pel-DeimLss-Stop</t>
  </si>
  <si>
    <t>pCMEx8-LipA-Lss-Stop</t>
  </si>
  <si>
    <t>pCMEx8-PelB-DeimLss-GFP11</t>
  </si>
  <si>
    <t>pCMEx8-YoaW-DeimLss-Stop</t>
  </si>
  <si>
    <t>pCMEx8-LipB-Lss-Stop</t>
  </si>
  <si>
    <t>pCMEx8-PhoB-DeimLss-GFP11</t>
  </si>
  <si>
    <t>pCMEx8-YpjP-DeimLss-Stop</t>
  </si>
  <si>
    <t>pCMEx8-Vpr-DeimLss-GFP11</t>
  </si>
  <si>
    <t>pCMEx8-YwaD-DeimLss-Stop</t>
  </si>
  <si>
    <t>pCMEx8-NprE-Lss-Stop</t>
  </si>
  <si>
    <t>pCMEx8-YncM-DeimLss-GFP11</t>
  </si>
  <si>
    <t>plate_4</t>
  </si>
  <si>
    <t>turbidity_plate</t>
  </si>
  <si>
    <t>lss_concentration in µg/mL</t>
  </si>
  <si>
    <t>lss_concentration in µM</t>
  </si>
  <si>
    <t>Std 0 µg/mL</t>
  </si>
  <si>
    <t>Std 0.156 µg/mL</t>
  </si>
  <si>
    <t>Std 0.313 µg/mL</t>
  </si>
  <si>
    <t>Std 0.625 µg/mL</t>
  </si>
  <si>
    <t>Std 1.25 µg/mL</t>
  </si>
  <si>
    <t>Std 2.5 µg/mL</t>
  </si>
  <si>
    <t>Std 5 µg/mL</t>
  </si>
  <si>
    <t>Std 10 µg/mL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</si>
</sst>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2" fillId="0" borderId="1" xfId="0" applyFont="1" applyBorder="1"/>
    <xf numFmtId="0" fontId="4" fillId="0" borderId="0" xfId="0" applyFont="1"/>
    <xf numFmtId="0" fontId="0" fillId="2" borderId="0" xfId="0" applyFont="1" applyFill="1"/>
    <xf numFmtId="0" fontId="0" fillId="0" borderId="0" xfId="0" applyFont="1"/>
  </cellXfs>
  <cellStyles count="1">
    <cellStyle name="Standard" xfId="0" builtinId="0"/>
  </cellStyles>
  <dxfs count="1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641350</xdr:colOff>
      <xdr:row>2</xdr:row>
      <xdr:rowOff>133350</xdr:rowOff>
    </xdr:from>
    <xdr:to>
      <xdr:col>10</xdr:col>
      <xdr:colOff>1574800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429500" y="501650"/>
          <a:ext cx="4546600" cy="125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uniquely identifies a culture</a:t>
          </a:r>
          <a:r>
            <a:rPr lang="en-US" sz="1100" baseline="0"/>
            <a:t> well.</a:t>
          </a:r>
        </a:p>
        <a:p>
          <a:r>
            <a:rPr lang="en-US" sz="1100" baseline="0"/>
            <a:t>Visit the "meta" sheet to change the run ID.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95250</xdr:rowOff>
    </xdr:from>
    <xdr:to>
      <xdr:col>10</xdr:col>
      <xdr:colOff>704850</xdr:colOff>
      <xdr:row>12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235700" y="463550"/>
          <a:ext cx="35941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column</a:t>
          </a:r>
          <a:r>
            <a:rPr lang="en-US" sz="1100" baseline="0"/>
            <a:t> is important to exactly match a well in the sGFP assay with the culture sample!</a:t>
          </a:r>
        </a:p>
        <a:p>
          <a:r>
            <a:rPr lang="en-US" sz="1100"/>
            <a:t>Especially when the same strain appears</a:t>
          </a:r>
          <a:r>
            <a:rPr lang="en-US" sz="1100" baseline="0"/>
            <a:t> multiple times.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</xdr:row>
      <xdr:rowOff>57150</xdr:rowOff>
    </xdr:from>
    <xdr:to>
      <xdr:col>9</xdr:col>
      <xdr:colOff>501650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97200" y="241300"/>
          <a:ext cx="38481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Information about standards is kept separately,</a:t>
          </a:r>
        </a:p>
        <a:p>
          <a:r>
            <a:rPr lang="en-US" sz="1100"/>
            <a:t>because</a:t>
          </a:r>
          <a:r>
            <a:rPr lang="en-US" sz="1100" baseline="0"/>
            <a:t> new standards may be added in the future,</a:t>
          </a:r>
        </a:p>
        <a:p>
          <a:r>
            <a:rPr lang="en-US" sz="1100" baseline="0"/>
            <a:t>or standards may be left out.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4" name="Table4" displayName="Table4" ref="A1:B2" totalsRowShown="0">
  <autoFilter ref="A1:B2"/>
  <tableColumns count="2">
    <tableColumn id="1" name="key"/>
    <tableColumn id="2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49" totalsRowShown="0" headerRowDxfId="12">
  <autoFilter ref="A1:H49"/>
  <tableColumns count="8">
    <tableColumn id="1" name="fp_well"/>
    <tableColumn id="8" name="sample_id" dataDxfId="11">
      <calculatedColumnFormula>CONCATENATE(run_id,".",Table1[[#This Row],[fp_well]])</calculatedColumnFormula>
    </tableColumn>
    <tableColumn id="2" name="medium"/>
    <tableColumn id="3" name="culture"/>
    <tableColumn id="4" name="plasmid"/>
    <tableColumn id="5" name="signal_peptide"/>
    <tableColumn id="6" name="insert"/>
    <tableColumn id="7" name="t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97" totalsRowShown="0" headerRowDxfId="10">
  <autoFilter ref="A1:D97"/>
  <tableColumns count="4">
    <tableColumn id="1" name="sgfp_well"/>
    <tableColumn id="2" name="content"/>
    <tableColumn id="3" name="sample_id" dataDxfId="9"/>
    <tableColumn id="4" name="sample_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9" totalsRowShown="0">
  <autoFilter ref="A1:B9"/>
  <tableColumns count="2">
    <tableColumn id="1" name="sample_id"/>
    <tableColumn id="2" name="gfp_concentr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10" name="Table2611" displayName="Table2611" ref="B1:F49" totalsRowShown="0" headerRowDxfId="8">
  <autoFilter ref="B1:F49"/>
  <tableColumns count="5">
    <tableColumn id="1" name="turbidity_well"/>
    <tableColumn id="2" name="content"/>
    <tableColumn id="3" name="sample_id" dataDxfId="7"/>
    <tableColumn id="4" name="sample_type"/>
    <tableColumn id="5" name="dilution_factor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11" name="Tabelle11" displayName="Tabelle11" ref="A1:A49" totalsRowShown="0" headerRowDxfId="6" dataDxfId="4" headerRowBorderDxfId="5" tableBorderDxfId="3">
  <autoFilter ref="A1:A49"/>
  <tableColumns count="1">
    <tableColumn id="1" name="turbidity_plate" dataDxfId="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5" name="Tabelle76" displayName="Tabelle76" ref="A1:C9" totalsRowShown="0">
  <autoFilter ref="A1:C9"/>
  <tableColumns count="3">
    <tableColumn id="1" name="sample_id" dataDxfId="1"/>
    <tableColumn id="2" name="lss_concentration in µg/mL"/>
    <tableColumn id="3" name="lss_concentration in µ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4" sqref="E4"/>
    </sheetView>
  </sheetViews>
  <sheetFormatPr baseColWidth="10" defaultColWidth="9.140625" defaultRowHeight="15" x14ac:dyDescent="0.25"/>
  <sheetData>
    <row r="1" spans="1:2" x14ac:dyDescent="0.25">
      <c r="A1" t="s">
        <v>165</v>
      </c>
      <c r="B1" t="s">
        <v>166</v>
      </c>
    </row>
    <row r="2" spans="1:2" x14ac:dyDescent="0.25">
      <c r="A2" t="s">
        <v>163</v>
      </c>
      <c r="B2" t="s">
        <v>164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B11" sqref="B11:E11"/>
    </sheetView>
  </sheetViews>
  <sheetFormatPr baseColWidth="10" defaultColWidth="10.85546875" defaultRowHeight="15" x14ac:dyDescent="0.25"/>
  <cols>
    <col min="1" max="1" width="10" bestFit="1" customWidth="1"/>
    <col min="2" max="2" width="12.42578125" bestFit="1" customWidth="1"/>
    <col min="3" max="3" width="10.7109375" bestFit="1" customWidth="1"/>
    <col min="4" max="4" width="9.42578125" bestFit="1" customWidth="1"/>
    <col min="5" max="5" width="29.42578125" bestFit="1" customWidth="1"/>
    <col min="6" max="6" width="16.42578125" bestFit="1" customWidth="1"/>
    <col min="7" max="7" width="8.7109375" bestFit="1" customWidth="1"/>
    <col min="8" max="8" width="6.42578125" bestFit="1" customWidth="1"/>
    <col min="9" max="9" width="23.28515625" customWidth="1"/>
    <col min="10" max="10" width="28.42578125" bestFit="1" customWidth="1"/>
    <col min="11" max="11" width="29.42578125" bestFit="1" customWidth="1"/>
    <col min="13" max="13" width="27.7109375" bestFit="1" customWidth="1"/>
  </cols>
  <sheetData>
    <row r="1" spans="1:8" s="1" customFormat="1" x14ac:dyDescent="0.25">
      <c r="A1" s="1" t="s">
        <v>157</v>
      </c>
      <c r="B1" s="1" t="s">
        <v>162</v>
      </c>
      <c r="C1" s="1" t="s">
        <v>158</v>
      </c>
      <c r="D1" s="1" t="s">
        <v>159</v>
      </c>
      <c r="E1" s="1" t="s">
        <v>160</v>
      </c>
      <c r="F1" s="1" t="s">
        <v>153</v>
      </c>
      <c r="G1" s="1" t="s">
        <v>154</v>
      </c>
      <c r="H1" s="1" t="s">
        <v>155</v>
      </c>
    </row>
    <row r="2" spans="1:8" x14ac:dyDescent="0.25">
      <c r="A2" t="s">
        <v>0</v>
      </c>
      <c r="B2" t="str">
        <f>CONCATENATE(run_id,".",Table1[[#This Row],[fp_well]])</f>
        <v>LNFABB.A01</v>
      </c>
      <c r="C2" t="s">
        <v>50</v>
      </c>
      <c r="D2" t="s">
        <v>48</v>
      </c>
      <c r="E2" t="s">
        <v>51</v>
      </c>
      <c r="F2" t="s">
        <v>131</v>
      </c>
      <c r="G2" t="s">
        <v>132</v>
      </c>
      <c r="H2" t="s">
        <v>133</v>
      </c>
    </row>
    <row r="3" spans="1:8" x14ac:dyDescent="0.25">
      <c r="A3" t="s">
        <v>1</v>
      </c>
      <c r="B3" t="str">
        <f>CONCATENATE(run_id,".",Table1[[#This Row],[fp_well]])</f>
        <v>LNFABB.A02</v>
      </c>
      <c r="C3" t="s">
        <v>50</v>
      </c>
      <c r="D3" t="s">
        <v>49</v>
      </c>
      <c r="E3" t="s">
        <v>51</v>
      </c>
      <c r="F3" t="s">
        <v>131</v>
      </c>
      <c r="G3" t="s">
        <v>132</v>
      </c>
      <c r="H3" t="s">
        <v>133</v>
      </c>
    </row>
    <row r="4" spans="1:8" x14ac:dyDescent="0.25">
      <c r="A4" t="s">
        <v>2</v>
      </c>
      <c r="B4" t="str">
        <f>CONCATENATE(run_id,".",Table1[[#This Row],[fp_well]])</f>
        <v>LNFABB.A03</v>
      </c>
      <c r="C4" t="s">
        <v>50</v>
      </c>
      <c r="D4" t="s">
        <v>48</v>
      </c>
      <c r="E4" t="s">
        <v>69</v>
      </c>
      <c r="F4" t="s">
        <v>134</v>
      </c>
      <c r="G4" t="s">
        <v>132</v>
      </c>
      <c r="H4" t="s">
        <v>156</v>
      </c>
    </row>
    <row r="5" spans="1:8" x14ac:dyDescent="0.25">
      <c r="A5" t="s">
        <v>3</v>
      </c>
      <c r="B5" t="str">
        <f>CONCATENATE(run_id,".",Table1[[#This Row],[fp_well]])</f>
        <v>LNFABB.A04</v>
      </c>
      <c r="C5" t="s">
        <v>50</v>
      </c>
      <c r="D5" t="s">
        <v>49</v>
      </c>
      <c r="E5" t="s">
        <v>69</v>
      </c>
      <c r="F5" t="s">
        <v>134</v>
      </c>
      <c r="G5" t="s">
        <v>132</v>
      </c>
      <c r="H5" t="s">
        <v>156</v>
      </c>
    </row>
    <row r="6" spans="1:8" x14ac:dyDescent="0.25">
      <c r="A6" t="s">
        <v>4</v>
      </c>
      <c r="B6" t="str">
        <f>CONCATENATE(run_id,".",Table1[[#This Row],[fp_well]])</f>
        <v>LNFABB.A05</v>
      </c>
      <c r="C6" t="s">
        <v>50</v>
      </c>
      <c r="D6" t="s">
        <v>49</v>
      </c>
      <c r="E6" t="s">
        <v>64</v>
      </c>
      <c r="F6" t="s">
        <v>135</v>
      </c>
      <c r="G6" t="s">
        <v>136</v>
      </c>
      <c r="H6" t="s">
        <v>133</v>
      </c>
    </row>
    <row r="7" spans="1:8" x14ac:dyDescent="0.25">
      <c r="A7" t="s">
        <v>5</v>
      </c>
      <c r="B7" t="str">
        <f>CONCATENATE(run_id,".",Table1[[#This Row],[fp_well]])</f>
        <v>LNFABB.A06</v>
      </c>
      <c r="C7" t="s">
        <v>50</v>
      </c>
      <c r="D7" t="s">
        <v>48</v>
      </c>
      <c r="E7" t="s">
        <v>64</v>
      </c>
      <c r="F7" t="s">
        <v>135</v>
      </c>
      <c r="G7" t="s">
        <v>136</v>
      </c>
      <c r="H7" t="s">
        <v>133</v>
      </c>
    </row>
    <row r="8" spans="1:8" x14ac:dyDescent="0.25">
      <c r="A8" t="s">
        <v>6</v>
      </c>
      <c r="B8" t="str">
        <f>CONCATENATE(run_id,".",Table1[[#This Row],[fp_well]])</f>
        <v>LNFABB.A07</v>
      </c>
      <c r="C8" t="s">
        <v>50</v>
      </c>
      <c r="D8" t="s">
        <v>49</v>
      </c>
      <c r="E8" t="s">
        <v>59</v>
      </c>
      <c r="F8" t="s">
        <v>137</v>
      </c>
      <c r="G8" t="s">
        <v>136</v>
      </c>
      <c r="H8" t="s">
        <v>156</v>
      </c>
    </row>
    <row r="9" spans="1:8" x14ac:dyDescent="0.25">
      <c r="A9" t="s">
        <v>7</v>
      </c>
      <c r="B9" t="str">
        <f>CONCATENATE(run_id,".",Table1[[#This Row],[fp_well]])</f>
        <v>LNFABB.A08</v>
      </c>
      <c r="C9" t="s">
        <v>50</v>
      </c>
      <c r="D9" t="s">
        <v>48</v>
      </c>
      <c r="E9" t="s">
        <v>59</v>
      </c>
      <c r="F9" t="s">
        <v>137</v>
      </c>
      <c r="G9" t="s">
        <v>136</v>
      </c>
      <c r="H9" t="s">
        <v>156</v>
      </c>
    </row>
    <row r="10" spans="1:8" x14ac:dyDescent="0.25">
      <c r="A10" t="s">
        <v>8</v>
      </c>
      <c r="B10" t="str">
        <f>CONCATENATE(run_id,".",Table1[[#This Row],[fp_well]])</f>
        <v>LNFABB.B01</v>
      </c>
      <c r="C10" t="s">
        <v>50</v>
      </c>
      <c r="D10" t="s">
        <v>48</v>
      </c>
      <c r="E10" t="s">
        <v>54</v>
      </c>
      <c r="F10" t="s">
        <v>138</v>
      </c>
      <c r="G10" t="s">
        <v>132</v>
      </c>
      <c r="H10" t="s">
        <v>133</v>
      </c>
    </row>
    <row r="11" spans="1:8" x14ac:dyDescent="0.25">
      <c r="A11" t="s">
        <v>9</v>
      </c>
      <c r="B11" t="str">
        <f>CONCATENATE(run_id,".",Table1[[#This Row],[fp_well]])</f>
        <v>LNFABB.B02</v>
      </c>
      <c r="C11" t="s">
        <v>50</v>
      </c>
      <c r="D11" t="s">
        <v>49</v>
      </c>
      <c r="E11" t="s">
        <v>54</v>
      </c>
      <c r="F11" t="s">
        <v>138</v>
      </c>
      <c r="G11" t="s">
        <v>132</v>
      </c>
      <c r="H11" t="s">
        <v>133</v>
      </c>
    </row>
    <row r="12" spans="1:8" x14ac:dyDescent="0.25">
      <c r="A12" t="s">
        <v>10</v>
      </c>
      <c r="B12" t="str">
        <f>CONCATENATE(run_id,".",Table1[[#This Row],[fp_well]])</f>
        <v>LNFABB.B03</v>
      </c>
      <c r="C12" t="s">
        <v>50</v>
      </c>
      <c r="D12" t="s">
        <v>48</v>
      </c>
      <c r="E12" t="s">
        <v>72</v>
      </c>
      <c r="F12" t="s">
        <v>139</v>
      </c>
      <c r="G12" t="s">
        <v>132</v>
      </c>
      <c r="H12" t="s">
        <v>156</v>
      </c>
    </row>
    <row r="13" spans="1:8" x14ac:dyDescent="0.25">
      <c r="A13" t="s">
        <v>11</v>
      </c>
      <c r="B13" t="str">
        <f>CONCATENATE(run_id,".",Table1[[#This Row],[fp_well]])</f>
        <v>LNFABB.B04</v>
      </c>
      <c r="C13" t="s">
        <v>50</v>
      </c>
      <c r="D13" t="s">
        <v>49</v>
      </c>
      <c r="E13" t="s">
        <v>72</v>
      </c>
      <c r="F13" t="s">
        <v>139</v>
      </c>
      <c r="G13" t="s">
        <v>132</v>
      </c>
      <c r="H13" t="s">
        <v>156</v>
      </c>
    </row>
    <row r="14" spans="1:8" x14ac:dyDescent="0.25">
      <c r="A14" t="s">
        <v>12</v>
      </c>
      <c r="B14" t="str">
        <f>CONCATENATE(run_id,".",Table1[[#This Row],[fp_well]])</f>
        <v>LNFABB.B05</v>
      </c>
      <c r="C14" t="s">
        <v>50</v>
      </c>
      <c r="D14" t="s">
        <v>49</v>
      </c>
      <c r="E14" t="s">
        <v>67</v>
      </c>
      <c r="F14" t="s">
        <v>140</v>
      </c>
      <c r="G14" t="s">
        <v>136</v>
      </c>
      <c r="H14" t="s">
        <v>133</v>
      </c>
    </row>
    <row r="15" spans="1:8" x14ac:dyDescent="0.25">
      <c r="A15" t="s">
        <v>13</v>
      </c>
      <c r="B15" t="str">
        <f>CONCATENATE(run_id,".",Table1[[#This Row],[fp_well]])</f>
        <v>LNFABB.B06</v>
      </c>
      <c r="C15" t="s">
        <v>50</v>
      </c>
      <c r="D15" t="s">
        <v>48</v>
      </c>
      <c r="E15" t="s">
        <v>67</v>
      </c>
      <c r="F15" t="s">
        <v>140</v>
      </c>
      <c r="G15" t="s">
        <v>136</v>
      </c>
      <c r="H15" t="s">
        <v>133</v>
      </c>
    </row>
    <row r="16" spans="1:8" x14ac:dyDescent="0.25">
      <c r="A16" t="s">
        <v>14</v>
      </c>
      <c r="B16" t="str">
        <f>CONCATENATE(run_id,".",Table1[[#This Row],[fp_well]])</f>
        <v>LNFABB.B07</v>
      </c>
      <c r="C16" t="s">
        <v>50</v>
      </c>
      <c r="D16" t="s">
        <v>49</v>
      </c>
      <c r="E16" t="s">
        <v>62</v>
      </c>
      <c r="F16" t="s">
        <v>141</v>
      </c>
      <c r="G16" t="s">
        <v>136</v>
      </c>
      <c r="H16" t="s">
        <v>156</v>
      </c>
    </row>
    <row r="17" spans="1:8" x14ac:dyDescent="0.25">
      <c r="A17" t="s">
        <v>15</v>
      </c>
      <c r="B17" t="str">
        <f>CONCATENATE(run_id,".",Table1[[#This Row],[fp_well]])</f>
        <v>LNFABB.B08</v>
      </c>
      <c r="C17" t="s">
        <v>50</v>
      </c>
      <c r="D17" t="s">
        <v>48</v>
      </c>
      <c r="E17" t="s">
        <v>62</v>
      </c>
      <c r="F17" t="s">
        <v>141</v>
      </c>
      <c r="G17" t="s">
        <v>136</v>
      </c>
      <c r="H17" t="s">
        <v>156</v>
      </c>
    </row>
    <row r="18" spans="1:8" x14ac:dyDescent="0.25">
      <c r="A18" t="s">
        <v>16</v>
      </c>
      <c r="B18" t="str">
        <f>CONCATENATE(run_id,".",Table1[[#This Row],[fp_well]])</f>
        <v>LNFABB.C01</v>
      </c>
      <c r="C18" t="s">
        <v>50</v>
      </c>
      <c r="D18" t="s">
        <v>48</v>
      </c>
      <c r="E18" t="s">
        <v>57</v>
      </c>
      <c r="F18" t="s">
        <v>142</v>
      </c>
      <c r="G18" t="s">
        <v>132</v>
      </c>
      <c r="H18" t="s">
        <v>133</v>
      </c>
    </row>
    <row r="19" spans="1:8" x14ac:dyDescent="0.25">
      <c r="A19" t="s">
        <v>17</v>
      </c>
      <c r="B19" t="str">
        <f>CONCATENATE(run_id,".",Table1[[#This Row],[fp_well]])</f>
        <v>LNFABB.C02</v>
      </c>
      <c r="C19" t="s">
        <v>50</v>
      </c>
      <c r="D19" t="s">
        <v>49</v>
      </c>
      <c r="E19" t="s">
        <v>57</v>
      </c>
      <c r="F19" t="s">
        <v>142</v>
      </c>
      <c r="G19" t="s">
        <v>132</v>
      </c>
      <c r="H19" t="s">
        <v>133</v>
      </c>
    </row>
    <row r="20" spans="1:8" x14ac:dyDescent="0.25">
      <c r="A20" t="s">
        <v>18</v>
      </c>
      <c r="B20" t="str">
        <f>CONCATENATE(run_id,".",Table1[[#This Row],[fp_well]])</f>
        <v>LNFABB.C03</v>
      </c>
      <c r="C20" t="s">
        <v>50</v>
      </c>
      <c r="D20" t="s">
        <v>48</v>
      </c>
      <c r="E20" t="s">
        <v>52</v>
      </c>
      <c r="F20" t="s">
        <v>143</v>
      </c>
      <c r="G20" t="s">
        <v>132</v>
      </c>
      <c r="H20" t="s">
        <v>156</v>
      </c>
    </row>
    <row r="21" spans="1:8" x14ac:dyDescent="0.25">
      <c r="A21" t="s">
        <v>19</v>
      </c>
      <c r="B21" t="str">
        <f>CONCATENATE(run_id,".",Table1[[#This Row],[fp_well]])</f>
        <v>LNFABB.C04</v>
      </c>
      <c r="C21" t="s">
        <v>50</v>
      </c>
      <c r="D21" t="s">
        <v>49</v>
      </c>
      <c r="E21" t="s">
        <v>52</v>
      </c>
      <c r="F21" t="s">
        <v>143</v>
      </c>
      <c r="G21" t="s">
        <v>132</v>
      </c>
      <c r="H21" t="s">
        <v>156</v>
      </c>
    </row>
    <row r="22" spans="1:8" x14ac:dyDescent="0.25">
      <c r="A22" t="s">
        <v>20</v>
      </c>
      <c r="B22" t="str">
        <f>CONCATENATE(run_id,".",Table1[[#This Row],[fp_well]])</f>
        <v>LNFABB.C05</v>
      </c>
      <c r="C22" t="s">
        <v>50</v>
      </c>
      <c r="D22" t="s">
        <v>49</v>
      </c>
      <c r="E22" t="s">
        <v>70</v>
      </c>
      <c r="F22" t="s">
        <v>144</v>
      </c>
      <c r="G22" t="s">
        <v>136</v>
      </c>
      <c r="H22" t="s">
        <v>133</v>
      </c>
    </row>
    <row r="23" spans="1:8" x14ac:dyDescent="0.25">
      <c r="A23" t="s">
        <v>21</v>
      </c>
      <c r="B23" t="str">
        <f>CONCATENATE(run_id,".",Table1[[#This Row],[fp_well]])</f>
        <v>LNFABB.C06</v>
      </c>
      <c r="C23" t="s">
        <v>50</v>
      </c>
      <c r="D23" t="s">
        <v>48</v>
      </c>
      <c r="E23" t="s">
        <v>70</v>
      </c>
      <c r="F23" t="s">
        <v>144</v>
      </c>
      <c r="G23" t="s">
        <v>136</v>
      </c>
      <c r="H23" t="s">
        <v>133</v>
      </c>
    </row>
    <row r="24" spans="1:8" x14ac:dyDescent="0.25">
      <c r="A24" t="s">
        <v>22</v>
      </c>
      <c r="B24" t="str">
        <f>CONCATENATE(run_id,".",Table1[[#This Row],[fp_well]])</f>
        <v>LNFABB.C07</v>
      </c>
      <c r="C24" t="s">
        <v>50</v>
      </c>
      <c r="D24" t="s">
        <v>49</v>
      </c>
      <c r="E24" t="s">
        <v>65</v>
      </c>
      <c r="F24" t="s">
        <v>143</v>
      </c>
      <c r="G24" t="s">
        <v>136</v>
      </c>
      <c r="H24" t="s">
        <v>156</v>
      </c>
    </row>
    <row r="25" spans="1:8" x14ac:dyDescent="0.25">
      <c r="A25" t="s">
        <v>23</v>
      </c>
      <c r="B25" t="str">
        <f>CONCATENATE(run_id,".",Table1[[#This Row],[fp_well]])</f>
        <v>LNFABB.C08</v>
      </c>
      <c r="C25" t="s">
        <v>50</v>
      </c>
      <c r="D25" t="s">
        <v>48</v>
      </c>
      <c r="E25" t="s">
        <v>65</v>
      </c>
      <c r="F25" t="s">
        <v>143</v>
      </c>
      <c r="G25" t="s">
        <v>136</v>
      </c>
      <c r="H25" t="s">
        <v>156</v>
      </c>
    </row>
    <row r="26" spans="1:8" x14ac:dyDescent="0.25">
      <c r="A26" t="s">
        <v>24</v>
      </c>
      <c r="B26" t="str">
        <f>CONCATENATE(run_id,".",Table1[[#This Row],[fp_well]])</f>
        <v>LNFABB.D01</v>
      </c>
      <c r="C26" t="s">
        <v>50</v>
      </c>
      <c r="D26" t="s">
        <v>48</v>
      </c>
      <c r="E26" t="s">
        <v>60</v>
      </c>
      <c r="F26" t="s">
        <v>145</v>
      </c>
      <c r="G26" t="s">
        <v>132</v>
      </c>
      <c r="H26" t="s">
        <v>133</v>
      </c>
    </row>
    <row r="27" spans="1:8" x14ac:dyDescent="0.25">
      <c r="A27" t="s">
        <v>25</v>
      </c>
      <c r="B27" t="str">
        <f>CONCATENATE(run_id,".",Table1[[#This Row],[fp_well]])</f>
        <v>LNFABB.D02</v>
      </c>
      <c r="C27" t="s">
        <v>50</v>
      </c>
      <c r="D27" t="s">
        <v>49</v>
      </c>
      <c r="E27" t="s">
        <v>60</v>
      </c>
      <c r="F27" t="s">
        <v>145</v>
      </c>
      <c r="G27" t="s">
        <v>132</v>
      </c>
      <c r="H27" t="s">
        <v>133</v>
      </c>
    </row>
    <row r="28" spans="1:8" x14ac:dyDescent="0.25">
      <c r="A28" t="s">
        <v>26</v>
      </c>
      <c r="B28" t="str">
        <f>CONCATENATE(run_id,".",Table1[[#This Row],[fp_well]])</f>
        <v>LNFABB.D03</v>
      </c>
      <c r="C28" t="s">
        <v>50</v>
      </c>
      <c r="D28" t="s">
        <v>48</v>
      </c>
      <c r="E28" t="s">
        <v>55</v>
      </c>
      <c r="F28" t="s">
        <v>146</v>
      </c>
      <c r="G28" t="s">
        <v>132</v>
      </c>
      <c r="H28" t="s">
        <v>156</v>
      </c>
    </row>
    <row r="29" spans="1:8" x14ac:dyDescent="0.25">
      <c r="A29" t="s">
        <v>27</v>
      </c>
      <c r="B29" t="str">
        <f>CONCATENATE(run_id,".",Table1[[#This Row],[fp_well]])</f>
        <v>LNFABB.D04</v>
      </c>
      <c r="C29" t="s">
        <v>50</v>
      </c>
      <c r="D29" t="s">
        <v>49</v>
      </c>
      <c r="E29" t="s">
        <v>55</v>
      </c>
      <c r="F29" t="s">
        <v>146</v>
      </c>
      <c r="G29" t="s">
        <v>132</v>
      </c>
      <c r="H29" t="s">
        <v>156</v>
      </c>
    </row>
    <row r="30" spans="1:8" x14ac:dyDescent="0.25">
      <c r="A30" t="s">
        <v>28</v>
      </c>
      <c r="B30" t="str">
        <f>CONCATENATE(run_id,".",Table1[[#This Row],[fp_well]])</f>
        <v>LNFABB.D05</v>
      </c>
      <c r="C30" t="s">
        <v>50</v>
      </c>
      <c r="D30" t="s">
        <v>49</v>
      </c>
      <c r="E30" t="s">
        <v>73</v>
      </c>
      <c r="F30" t="s">
        <v>145</v>
      </c>
      <c r="G30" t="s">
        <v>136</v>
      </c>
      <c r="H30" t="s">
        <v>133</v>
      </c>
    </row>
    <row r="31" spans="1:8" x14ac:dyDescent="0.25">
      <c r="A31" t="s">
        <v>29</v>
      </c>
      <c r="B31" t="str">
        <f>CONCATENATE(run_id,".",Table1[[#This Row],[fp_well]])</f>
        <v>LNFABB.D06</v>
      </c>
      <c r="C31" t="s">
        <v>50</v>
      </c>
      <c r="D31" t="s">
        <v>48</v>
      </c>
      <c r="E31" t="s">
        <v>73</v>
      </c>
      <c r="F31" t="s">
        <v>145</v>
      </c>
      <c r="G31" t="s">
        <v>136</v>
      </c>
      <c r="H31" t="s">
        <v>133</v>
      </c>
    </row>
    <row r="32" spans="1:8" x14ac:dyDescent="0.25">
      <c r="A32" t="s">
        <v>30</v>
      </c>
      <c r="B32" t="str">
        <f>CONCATENATE(run_id,".",Table1[[#This Row],[fp_well]])</f>
        <v>LNFABB.D07</v>
      </c>
      <c r="C32" t="s">
        <v>50</v>
      </c>
      <c r="D32" t="s">
        <v>49</v>
      </c>
      <c r="E32" t="s">
        <v>68</v>
      </c>
      <c r="F32" t="s">
        <v>147</v>
      </c>
      <c r="G32" t="s">
        <v>136</v>
      </c>
      <c r="H32" t="s">
        <v>156</v>
      </c>
    </row>
    <row r="33" spans="1:8" x14ac:dyDescent="0.25">
      <c r="A33" t="s">
        <v>31</v>
      </c>
      <c r="B33" t="str">
        <f>CONCATENATE(run_id,".",Table1[[#This Row],[fp_well]])</f>
        <v>LNFABB.D08</v>
      </c>
      <c r="C33" t="s">
        <v>50</v>
      </c>
      <c r="D33" t="s">
        <v>48</v>
      </c>
      <c r="E33" t="s">
        <v>68</v>
      </c>
      <c r="F33" t="s">
        <v>147</v>
      </c>
      <c r="G33" t="s">
        <v>136</v>
      </c>
      <c r="H33" t="s">
        <v>156</v>
      </c>
    </row>
    <row r="34" spans="1:8" x14ac:dyDescent="0.25">
      <c r="A34" t="s">
        <v>32</v>
      </c>
      <c r="B34" t="str">
        <f>CONCATENATE(run_id,".",Table1[[#This Row],[fp_well]])</f>
        <v>LNFABB.E01</v>
      </c>
      <c r="C34" t="s">
        <v>50</v>
      </c>
      <c r="D34" t="s">
        <v>48</v>
      </c>
      <c r="E34" t="s">
        <v>63</v>
      </c>
      <c r="F34" t="s">
        <v>148</v>
      </c>
      <c r="G34" t="s">
        <v>132</v>
      </c>
      <c r="H34" t="s">
        <v>156</v>
      </c>
    </row>
    <row r="35" spans="1:8" x14ac:dyDescent="0.25">
      <c r="A35" t="s">
        <v>33</v>
      </c>
      <c r="B35" t="str">
        <f>CONCATENATE(run_id,".",Table1[[#This Row],[fp_well]])</f>
        <v>LNFABB.E02</v>
      </c>
      <c r="C35" t="s">
        <v>50</v>
      </c>
      <c r="D35" t="s">
        <v>49</v>
      </c>
      <c r="E35" t="s">
        <v>63</v>
      </c>
      <c r="F35" t="s">
        <v>148</v>
      </c>
      <c r="G35" t="s">
        <v>132</v>
      </c>
      <c r="H35" t="s">
        <v>156</v>
      </c>
    </row>
    <row r="36" spans="1:8" x14ac:dyDescent="0.25">
      <c r="A36" t="s">
        <v>34</v>
      </c>
      <c r="B36" t="str">
        <f>CONCATENATE(run_id,".",Table1[[#This Row],[fp_well]])</f>
        <v>LNFABB.E03</v>
      </c>
      <c r="C36" t="s">
        <v>50</v>
      </c>
      <c r="D36" t="s">
        <v>48</v>
      </c>
      <c r="E36" t="s">
        <v>58</v>
      </c>
      <c r="F36" t="s">
        <v>149</v>
      </c>
      <c r="G36" t="s">
        <v>136</v>
      </c>
      <c r="H36" t="s">
        <v>133</v>
      </c>
    </row>
    <row r="37" spans="1:8" x14ac:dyDescent="0.25">
      <c r="A37" t="s">
        <v>35</v>
      </c>
      <c r="B37" t="str">
        <f>CONCATENATE(run_id,".",Table1[[#This Row],[fp_well]])</f>
        <v>LNFABB.E04</v>
      </c>
      <c r="C37" t="s">
        <v>50</v>
      </c>
      <c r="D37" t="s">
        <v>49</v>
      </c>
      <c r="E37" t="s">
        <v>58</v>
      </c>
      <c r="F37" t="s">
        <v>149</v>
      </c>
      <c r="G37" t="s">
        <v>136</v>
      </c>
      <c r="H37" t="s">
        <v>133</v>
      </c>
    </row>
    <row r="38" spans="1:8" x14ac:dyDescent="0.25">
      <c r="A38" t="s">
        <v>36</v>
      </c>
      <c r="B38" t="str">
        <f>CONCATENATE(run_id,".",Table1[[#This Row],[fp_well]])</f>
        <v>LNFABB.E05</v>
      </c>
      <c r="C38" t="s">
        <v>50</v>
      </c>
      <c r="D38" t="s">
        <v>49</v>
      </c>
      <c r="E38" t="s">
        <v>53</v>
      </c>
      <c r="F38" t="s">
        <v>150</v>
      </c>
      <c r="G38" t="s">
        <v>136</v>
      </c>
      <c r="H38" t="s">
        <v>133</v>
      </c>
    </row>
    <row r="39" spans="1:8" x14ac:dyDescent="0.25">
      <c r="A39" t="s">
        <v>37</v>
      </c>
      <c r="B39" t="str">
        <f>CONCATENATE(run_id,".",Table1[[#This Row],[fp_well]])</f>
        <v>LNFABB.E06</v>
      </c>
      <c r="C39" t="s">
        <v>50</v>
      </c>
      <c r="D39" t="s">
        <v>48</v>
      </c>
      <c r="E39" t="s">
        <v>53</v>
      </c>
      <c r="F39" t="s">
        <v>150</v>
      </c>
      <c r="G39" t="s">
        <v>136</v>
      </c>
      <c r="H39" t="s">
        <v>133</v>
      </c>
    </row>
    <row r="40" spans="1:8" x14ac:dyDescent="0.25">
      <c r="A40" t="s">
        <v>38</v>
      </c>
      <c r="B40" t="str">
        <f>CONCATENATE(run_id,".",Table1[[#This Row],[fp_well]])</f>
        <v>LNFABB.E07</v>
      </c>
      <c r="C40" t="s">
        <v>50</v>
      </c>
      <c r="D40" t="s">
        <v>49</v>
      </c>
      <c r="E40" t="s">
        <v>71</v>
      </c>
      <c r="F40" t="s">
        <v>150</v>
      </c>
      <c r="G40" t="s">
        <v>136</v>
      </c>
      <c r="H40" t="s">
        <v>156</v>
      </c>
    </row>
    <row r="41" spans="1:8" x14ac:dyDescent="0.25">
      <c r="A41" t="s">
        <v>39</v>
      </c>
      <c r="B41" t="str">
        <f>CONCATENATE(run_id,".",Table1[[#This Row],[fp_well]])</f>
        <v>LNFABB.E08</v>
      </c>
      <c r="C41" t="s">
        <v>50</v>
      </c>
      <c r="D41" t="s">
        <v>48</v>
      </c>
      <c r="E41" t="s">
        <v>71</v>
      </c>
      <c r="F41" t="s">
        <v>150</v>
      </c>
      <c r="G41" t="s">
        <v>136</v>
      </c>
      <c r="H41" t="s">
        <v>156</v>
      </c>
    </row>
    <row r="42" spans="1:8" x14ac:dyDescent="0.25">
      <c r="A42" t="s">
        <v>40</v>
      </c>
      <c r="B42" t="str">
        <f>CONCATENATE(run_id,".",Table1[[#This Row],[fp_well]])</f>
        <v>LNFABB.F01</v>
      </c>
      <c r="C42" t="s">
        <v>50</v>
      </c>
      <c r="D42" t="s">
        <v>48</v>
      </c>
      <c r="E42" t="s">
        <v>66</v>
      </c>
      <c r="F42" t="s">
        <v>137</v>
      </c>
      <c r="G42" t="s">
        <v>132</v>
      </c>
      <c r="H42" t="s">
        <v>156</v>
      </c>
    </row>
    <row r="43" spans="1:8" x14ac:dyDescent="0.25">
      <c r="A43" t="s">
        <v>41</v>
      </c>
      <c r="B43" t="str">
        <f>CONCATENATE(run_id,".",Table1[[#This Row],[fp_well]])</f>
        <v>LNFABB.F02</v>
      </c>
      <c r="C43" t="s">
        <v>50</v>
      </c>
      <c r="D43" t="s">
        <v>49</v>
      </c>
      <c r="E43" t="s">
        <v>66</v>
      </c>
      <c r="F43" t="s">
        <v>137</v>
      </c>
      <c r="G43" t="s">
        <v>132</v>
      </c>
      <c r="H43" t="s">
        <v>156</v>
      </c>
    </row>
    <row r="44" spans="1:8" x14ac:dyDescent="0.25">
      <c r="A44" t="s">
        <v>42</v>
      </c>
      <c r="B44" t="str">
        <f>CONCATENATE(run_id,".",Table1[[#This Row],[fp_well]])</f>
        <v>LNFABB.F03</v>
      </c>
      <c r="C44" t="s">
        <v>50</v>
      </c>
      <c r="D44" t="s">
        <v>48</v>
      </c>
      <c r="E44" t="s">
        <v>61</v>
      </c>
      <c r="F44" t="s">
        <v>148</v>
      </c>
      <c r="G44" t="s">
        <v>136</v>
      </c>
      <c r="H44" t="s">
        <v>133</v>
      </c>
    </row>
    <row r="45" spans="1:8" x14ac:dyDescent="0.25">
      <c r="A45" t="s">
        <v>43</v>
      </c>
      <c r="B45" t="str">
        <f>CONCATENATE(run_id,".",Table1[[#This Row],[fp_well]])</f>
        <v>LNFABB.F04</v>
      </c>
      <c r="C45" t="s">
        <v>50</v>
      </c>
      <c r="D45" t="s">
        <v>49</v>
      </c>
      <c r="E45" t="s">
        <v>61</v>
      </c>
      <c r="F45" t="s">
        <v>148</v>
      </c>
      <c r="G45" t="s">
        <v>136</v>
      </c>
      <c r="H45" t="s">
        <v>133</v>
      </c>
    </row>
    <row r="46" spans="1:8" x14ac:dyDescent="0.25">
      <c r="A46" t="s">
        <v>44</v>
      </c>
      <c r="B46" t="str">
        <f>CONCATENATE(run_id,".",Table1[[#This Row],[fp_well]])</f>
        <v>LNFABB.F05</v>
      </c>
      <c r="C46" t="s">
        <v>50</v>
      </c>
      <c r="D46" t="s">
        <v>49</v>
      </c>
      <c r="E46" t="s">
        <v>56</v>
      </c>
      <c r="F46" t="s">
        <v>148</v>
      </c>
      <c r="G46" t="s">
        <v>136</v>
      </c>
      <c r="H46" t="s">
        <v>156</v>
      </c>
    </row>
    <row r="47" spans="1:8" x14ac:dyDescent="0.25">
      <c r="A47" t="s">
        <v>45</v>
      </c>
      <c r="B47" t="str">
        <f>CONCATENATE(run_id,".",Table1[[#This Row],[fp_well]])</f>
        <v>LNFABB.F06</v>
      </c>
      <c r="C47" t="s">
        <v>50</v>
      </c>
      <c r="D47" t="s">
        <v>48</v>
      </c>
      <c r="E47" t="s">
        <v>56</v>
      </c>
      <c r="F47" t="s">
        <v>148</v>
      </c>
      <c r="G47" t="s">
        <v>136</v>
      </c>
      <c r="H47" t="s">
        <v>156</v>
      </c>
    </row>
    <row r="48" spans="1:8" x14ac:dyDescent="0.25">
      <c r="A48" t="s">
        <v>46</v>
      </c>
      <c r="B48" t="str">
        <f>CONCATENATE(run_id,".",Table1[[#This Row],[fp_well]])</f>
        <v>LNFABB.F07</v>
      </c>
      <c r="C48" t="s">
        <v>50</v>
      </c>
      <c r="D48" t="s">
        <v>49</v>
      </c>
      <c r="E48" t="s">
        <v>151</v>
      </c>
      <c r="F48" t="s">
        <v>139</v>
      </c>
      <c r="G48" t="s">
        <v>152</v>
      </c>
      <c r="H48" t="s">
        <v>133</v>
      </c>
    </row>
    <row r="49" spans="1:8" x14ac:dyDescent="0.25">
      <c r="A49" t="s">
        <v>47</v>
      </c>
      <c r="B49" t="str">
        <f>CONCATENATE(run_id,".",Table1[[#This Row],[fp_well]])</f>
        <v>LNFABB.F08</v>
      </c>
      <c r="C49" t="s">
        <v>50</v>
      </c>
      <c r="D49" t="s">
        <v>48</v>
      </c>
      <c r="E49" t="s">
        <v>151</v>
      </c>
      <c r="F49" t="s">
        <v>139</v>
      </c>
      <c r="G49" t="s">
        <v>152</v>
      </c>
      <c r="H49" t="s">
        <v>133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activeCell="G76" sqref="G76"/>
    </sheetView>
  </sheetViews>
  <sheetFormatPr baseColWidth="10" defaultColWidth="10.85546875" defaultRowHeight="15" x14ac:dyDescent="0.25"/>
  <cols>
    <col min="1" max="1" width="13" customWidth="1"/>
    <col min="2" max="2" width="29.42578125" bestFit="1" customWidth="1"/>
    <col min="3" max="3" width="11.7109375" bestFit="1" customWidth="1"/>
    <col min="4" max="4" width="13.85546875" bestFit="1" customWidth="1"/>
  </cols>
  <sheetData>
    <row r="1" spans="1:4" x14ac:dyDescent="0.25">
      <c r="A1" s="1" t="s">
        <v>161</v>
      </c>
      <c r="B1" s="1" t="s">
        <v>167</v>
      </c>
      <c r="C1" s="2" t="s">
        <v>162</v>
      </c>
      <c r="D1" s="2" t="s">
        <v>192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  <c r="B7" t="s">
        <v>123</v>
      </c>
      <c r="C7" t="s">
        <v>123</v>
      </c>
      <c r="D7" t="s">
        <v>193</v>
      </c>
    </row>
    <row r="8" spans="1:4" x14ac:dyDescent="0.25">
      <c r="A8" t="s">
        <v>6</v>
      </c>
      <c r="B8" t="s">
        <v>123</v>
      </c>
      <c r="C8" t="s">
        <v>123</v>
      </c>
      <c r="D8" t="s">
        <v>193</v>
      </c>
    </row>
    <row r="9" spans="1:4" x14ac:dyDescent="0.25">
      <c r="A9" t="s">
        <v>7</v>
      </c>
    </row>
    <row r="10" spans="1:4" x14ac:dyDescent="0.25">
      <c r="A10" t="s">
        <v>75</v>
      </c>
    </row>
    <row r="11" spans="1:4" x14ac:dyDescent="0.25">
      <c r="A11" t="s">
        <v>76</v>
      </c>
    </row>
    <row r="12" spans="1:4" x14ac:dyDescent="0.25">
      <c r="A12" t="s">
        <v>77</v>
      </c>
    </row>
    <row r="13" spans="1:4" x14ac:dyDescent="0.25">
      <c r="A13" t="s">
        <v>78</v>
      </c>
    </row>
    <row r="14" spans="1:4" x14ac:dyDescent="0.25">
      <c r="A14" t="s">
        <v>8</v>
      </c>
    </row>
    <row r="15" spans="1:4" x14ac:dyDescent="0.25">
      <c r="A15" t="s">
        <v>9</v>
      </c>
      <c r="B15" t="s">
        <v>51</v>
      </c>
      <c r="C15" t="s">
        <v>168</v>
      </c>
      <c r="D15" t="s">
        <v>194</v>
      </c>
    </row>
    <row r="16" spans="1:4" x14ac:dyDescent="0.25">
      <c r="A16" t="s">
        <v>10</v>
      </c>
      <c r="B16" t="s">
        <v>69</v>
      </c>
      <c r="C16" t="s">
        <v>169</v>
      </c>
      <c r="D16" t="s">
        <v>194</v>
      </c>
    </row>
    <row r="17" spans="1:4" x14ac:dyDescent="0.25">
      <c r="A17" t="s">
        <v>11</v>
      </c>
      <c r="B17" t="s">
        <v>64</v>
      </c>
      <c r="C17" t="s">
        <v>170</v>
      </c>
      <c r="D17" t="s">
        <v>194</v>
      </c>
    </row>
    <row r="18" spans="1:4" x14ac:dyDescent="0.25">
      <c r="A18" t="s">
        <v>12</v>
      </c>
      <c r="B18" t="s">
        <v>59</v>
      </c>
      <c r="C18" t="s">
        <v>171</v>
      </c>
      <c r="D18" t="s">
        <v>194</v>
      </c>
    </row>
    <row r="19" spans="1:4" x14ac:dyDescent="0.25">
      <c r="A19" t="s">
        <v>13</v>
      </c>
      <c r="B19" t="s">
        <v>124</v>
      </c>
      <c r="C19" t="s">
        <v>124</v>
      </c>
      <c r="D19" t="s">
        <v>193</v>
      </c>
    </row>
    <row r="20" spans="1:4" x14ac:dyDescent="0.25">
      <c r="A20" t="s">
        <v>14</v>
      </c>
      <c r="B20" t="s">
        <v>124</v>
      </c>
      <c r="C20" t="s">
        <v>124</v>
      </c>
      <c r="D20" t="s">
        <v>193</v>
      </c>
    </row>
    <row r="21" spans="1:4" x14ac:dyDescent="0.25">
      <c r="A21" t="s">
        <v>15</v>
      </c>
      <c r="B21" t="s">
        <v>51</v>
      </c>
      <c r="C21" t="s">
        <v>168</v>
      </c>
      <c r="D21" t="s">
        <v>194</v>
      </c>
    </row>
    <row r="22" spans="1:4" x14ac:dyDescent="0.25">
      <c r="A22" t="s">
        <v>79</v>
      </c>
      <c r="B22" t="s">
        <v>69</v>
      </c>
      <c r="C22" t="s">
        <v>169</v>
      </c>
      <c r="D22" t="s">
        <v>194</v>
      </c>
    </row>
    <row r="23" spans="1:4" x14ac:dyDescent="0.25">
      <c r="A23" t="s">
        <v>80</v>
      </c>
      <c r="B23" t="s">
        <v>64</v>
      </c>
      <c r="C23" t="s">
        <v>170</v>
      </c>
      <c r="D23" t="s">
        <v>194</v>
      </c>
    </row>
    <row r="24" spans="1:4" x14ac:dyDescent="0.25">
      <c r="A24" t="s">
        <v>81</v>
      </c>
      <c r="B24" t="s">
        <v>59</v>
      </c>
      <c r="C24" t="s">
        <v>171</v>
      </c>
      <c r="D24" t="s">
        <v>194</v>
      </c>
    </row>
    <row r="25" spans="1:4" x14ac:dyDescent="0.25">
      <c r="A25" t="s">
        <v>82</v>
      </c>
    </row>
    <row r="26" spans="1:4" x14ac:dyDescent="0.25">
      <c r="A26" t="s">
        <v>16</v>
      </c>
    </row>
    <row r="27" spans="1:4" x14ac:dyDescent="0.25">
      <c r="A27" t="s">
        <v>17</v>
      </c>
      <c r="B27" t="s">
        <v>54</v>
      </c>
      <c r="C27" t="s">
        <v>172</v>
      </c>
      <c r="D27" t="s">
        <v>194</v>
      </c>
    </row>
    <row r="28" spans="1:4" x14ac:dyDescent="0.25">
      <c r="A28" t="s">
        <v>18</v>
      </c>
      <c r="B28" t="s">
        <v>72</v>
      </c>
      <c r="C28" t="s">
        <v>173</v>
      </c>
      <c r="D28" t="s">
        <v>194</v>
      </c>
    </row>
    <row r="29" spans="1:4" x14ac:dyDescent="0.25">
      <c r="A29" t="s">
        <v>19</v>
      </c>
      <c r="B29" t="s">
        <v>67</v>
      </c>
      <c r="C29" t="s">
        <v>174</v>
      </c>
      <c r="D29" t="s">
        <v>194</v>
      </c>
    </row>
    <row r="30" spans="1:4" x14ac:dyDescent="0.25">
      <c r="A30" t="s">
        <v>20</v>
      </c>
      <c r="B30" t="s">
        <v>62</v>
      </c>
      <c r="C30" t="s">
        <v>175</v>
      </c>
      <c r="D30" t="s">
        <v>194</v>
      </c>
    </row>
    <row r="31" spans="1:4" x14ac:dyDescent="0.25">
      <c r="A31" t="s">
        <v>21</v>
      </c>
      <c r="B31" t="s">
        <v>125</v>
      </c>
      <c r="C31" t="s">
        <v>125</v>
      </c>
      <c r="D31" t="s">
        <v>193</v>
      </c>
    </row>
    <row r="32" spans="1:4" x14ac:dyDescent="0.25">
      <c r="A32" t="s">
        <v>22</v>
      </c>
      <c r="B32" t="s">
        <v>125</v>
      </c>
      <c r="C32" t="s">
        <v>125</v>
      </c>
      <c r="D32" t="s">
        <v>193</v>
      </c>
    </row>
    <row r="33" spans="1:4" x14ac:dyDescent="0.25">
      <c r="A33" t="s">
        <v>23</v>
      </c>
      <c r="B33" t="s">
        <v>54</v>
      </c>
      <c r="C33" t="s">
        <v>172</v>
      </c>
      <c r="D33" t="s">
        <v>194</v>
      </c>
    </row>
    <row r="34" spans="1:4" x14ac:dyDescent="0.25">
      <c r="A34" t="s">
        <v>83</v>
      </c>
      <c r="B34" t="s">
        <v>72</v>
      </c>
      <c r="C34" t="s">
        <v>173</v>
      </c>
      <c r="D34" t="s">
        <v>194</v>
      </c>
    </row>
    <row r="35" spans="1:4" x14ac:dyDescent="0.25">
      <c r="A35" t="s">
        <v>84</v>
      </c>
      <c r="B35" t="s">
        <v>67</v>
      </c>
      <c r="C35" t="s">
        <v>174</v>
      </c>
      <c r="D35" t="s">
        <v>194</v>
      </c>
    </row>
    <row r="36" spans="1:4" x14ac:dyDescent="0.25">
      <c r="A36" t="s">
        <v>85</v>
      </c>
      <c r="B36" t="s">
        <v>62</v>
      </c>
      <c r="C36" t="s">
        <v>175</v>
      </c>
      <c r="D36" t="s">
        <v>194</v>
      </c>
    </row>
    <row r="37" spans="1:4" x14ac:dyDescent="0.25">
      <c r="A37" t="s">
        <v>86</v>
      </c>
    </row>
    <row r="38" spans="1:4" x14ac:dyDescent="0.25">
      <c r="A38" t="s">
        <v>24</v>
      </c>
    </row>
    <row r="39" spans="1:4" x14ac:dyDescent="0.25">
      <c r="A39" t="s">
        <v>25</v>
      </c>
      <c r="B39" t="s">
        <v>57</v>
      </c>
      <c r="C39" t="s">
        <v>176</v>
      </c>
      <c r="D39" t="s">
        <v>194</v>
      </c>
    </row>
    <row r="40" spans="1:4" x14ac:dyDescent="0.25">
      <c r="A40" t="s">
        <v>26</v>
      </c>
      <c r="B40" t="s">
        <v>52</v>
      </c>
      <c r="C40" t="s">
        <v>177</v>
      </c>
      <c r="D40" t="s">
        <v>194</v>
      </c>
    </row>
    <row r="41" spans="1:4" x14ac:dyDescent="0.25">
      <c r="A41" t="s">
        <v>27</v>
      </c>
      <c r="B41" t="s">
        <v>70</v>
      </c>
      <c r="C41" t="s">
        <v>178</v>
      </c>
      <c r="D41" t="s">
        <v>194</v>
      </c>
    </row>
    <row r="42" spans="1:4" x14ac:dyDescent="0.25">
      <c r="A42" t="s">
        <v>28</v>
      </c>
      <c r="B42" t="s">
        <v>65</v>
      </c>
      <c r="C42" t="s">
        <v>179</v>
      </c>
      <c r="D42" t="s">
        <v>194</v>
      </c>
    </row>
    <row r="43" spans="1:4" x14ac:dyDescent="0.25">
      <c r="A43" t="s">
        <v>29</v>
      </c>
      <c r="B43" t="s">
        <v>126</v>
      </c>
      <c r="C43" t="s">
        <v>126</v>
      </c>
      <c r="D43" t="s">
        <v>193</v>
      </c>
    </row>
    <row r="44" spans="1:4" x14ac:dyDescent="0.25">
      <c r="A44" t="s">
        <v>30</v>
      </c>
      <c r="B44" t="s">
        <v>126</v>
      </c>
      <c r="C44" t="s">
        <v>126</v>
      </c>
      <c r="D44" t="s">
        <v>193</v>
      </c>
    </row>
    <row r="45" spans="1:4" x14ac:dyDescent="0.25">
      <c r="A45" t="s">
        <v>31</v>
      </c>
      <c r="B45" t="s">
        <v>57</v>
      </c>
      <c r="C45" t="s">
        <v>176</v>
      </c>
      <c r="D45" t="s">
        <v>194</v>
      </c>
    </row>
    <row r="46" spans="1:4" x14ac:dyDescent="0.25">
      <c r="A46" t="s">
        <v>87</v>
      </c>
      <c r="B46" t="s">
        <v>52</v>
      </c>
      <c r="C46" t="s">
        <v>177</v>
      </c>
      <c r="D46" t="s">
        <v>194</v>
      </c>
    </row>
    <row r="47" spans="1:4" x14ac:dyDescent="0.25">
      <c r="A47" t="s">
        <v>88</v>
      </c>
      <c r="B47" t="s">
        <v>70</v>
      </c>
      <c r="C47" t="s">
        <v>178</v>
      </c>
      <c r="D47" t="s">
        <v>194</v>
      </c>
    </row>
    <row r="48" spans="1:4" x14ac:dyDescent="0.25">
      <c r="A48" t="s">
        <v>89</v>
      </c>
      <c r="B48" t="s">
        <v>65</v>
      </c>
      <c r="C48" t="s">
        <v>179</v>
      </c>
      <c r="D48" t="s">
        <v>194</v>
      </c>
    </row>
    <row r="49" spans="1:4" x14ac:dyDescent="0.25">
      <c r="A49" t="s">
        <v>90</v>
      </c>
    </row>
    <row r="50" spans="1:4" x14ac:dyDescent="0.25">
      <c r="A50" t="s">
        <v>32</v>
      </c>
    </row>
    <row r="51" spans="1:4" x14ac:dyDescent="0.25">
      <c r="A51" t="s">
        <v>33</v>
      </c>
      <c r="B51" t="s">
        <v>60</v>
      </c>
      <c r="C51" t="s">
        <v>180</v>
      </c>
      <c r="D51" t="s">
        <v>194</v>
      </c>
    </row>
    <row r="52" spans="1:4" x14ac:dyDescent="0.25">
      <c r="A52" t="s">
        <v>34</v>
      </c>
      <c r="B52" t="s">
        <v>55</v>
      </c>
      <c r="C52" t="s">
        <v>181</v>
      </c>
      <c r="D52" t="s">
        <v>194</v>
      </c>
    </row>
    <row r="53" spans="1:4" x14ac:dyDescent="0.25">
      <c r="A53" t="s">
        <v>35</v>
      </c>
      <c r="B53" t="s">
        <v>73</v>
      </c>
      <c r="C53" t="s">
        <v>182</v>
      </c>
      <c r="D53" t="s">
        <v>194</v>
      </c>
    </row>
    <row r="54" spans="1:4" x14ac:dyDescent="0.25">
      <c r="A54" t="s">
        <v>36</v>
      </c>
      <c r="B54" t="s">
        <v>68</v>
      </c>
      <c r="C54" t="s">
        <v>183</v>
      </c>
      <c r="D54" t="s">
        <v>194</v>
      </c>
    </row>
    <row r="55" spans="1:4" x14ac:dyDescent="0.25">
      <c r="A55" t="s">
        <v>37</v>
      </c>
      <c r="B55" t="s">
        <v>127</v>
      </c>
      <c r="C55" t="s">
        <v>127</v>
      </c>
      <c r="D55" t="s">
        <v>193</v>
      </c>
    </row>
    <row r="56" spans="1:4" x14ac:dyDescent="0.25">
      <c r="A56" t="s">
        <v>38</v>
      </c>
      <c r="B56" t="s">
        <v>127</v>
      </c>
      <c r="C56" t="s">
        <v>127</v>
      </c>
      <c r="D56" t="s">
        <v>193</v>
      </c>
    </row>
    <row r="57" spans="1:4" x14ac:dyDescent="0.25">
      <c r="A57" t="s">
        <v>39</v>
      </c>
      <c r="B57" t="s">
        <v>60</v>
      </c>
      <c r="C57" t="s">
        <v>180</v>
      </c>
      <c r="D57" t="s">
        <v>194</v>
      </c>
    </row>
    <row r="58" spans="1:4" x14ac:dyDescent="0.25">
      <c r="A58" t="s">
        <v>91</v>
      </c>
      <c r="B58" t="s">
        <v>55</v>
      </c>
      <c r="C58" t="s">
        <v>181</v>
      </c>
      <c r="D58" t="s">
        <v>194</v>
      </c>
    </row>
    <row r="59" spans="1:4" x14ac:dyDescent="0.25">
      <c r="A59" t="s">
        <v>92</v>
      </c>
      <c r="B59" t="s">
        <v>73</v>
      </c>
      <c r="C59" t="s">
        <v>182</v>
      </c>
      <c r="D59" t="s">
        <v>194</v>
      </c>
    </row>
    <row r="60" spans="1:4" x14ac:dyDescent="0.25">
      <c r="A60" t="s">
        <v>93</v>
      </c>
      <c r="B60" t="s">
        <v>68</v>
      </c>
      <c r="C60" t="s">
        <v>183</v>
      </c>
      <c r="D60" t="s">
        <v>194</v>
      </c>
    </row>
    <row r="61" spans="1:4" x14ac:dyDescent="0.25">
      <c r="A61" t="s">
        <v>94</v>
      </c>
    </row>
    <row r="62" spans="1:4" x14ac:dyDescent="0.25">
      <c r="A62" t="s">
        <v>40</v>
      </c>
    </row>
    <row r="63" spans="1:4" x14ac:dyDescent="0.25">
      <c r="A63" t="s">
        <v>41</v>
      </c>
      <c r="B63" t="s">
        <v>63</v>
      </c>
      <c r="C63" t="s">
        <v>184</v>
      </c>
      <c r="D63" t="s">
        <v>194</v>
      </c>
    </row>
    <row r="64" spans="1:4" x14ac:dyDescent="0.25">
      <c r="A64" t="s">
        <v>42</v>
      </c>
      <c r="B64" t="s">
        <v>58</v>
      </c>
      <c r="C64" t="s">
        <v>185</v>
      </c>
      <c r="D64" t="s">
        <v>194</v>
      </c>
    </row>
    <row r="65" spans="1:4" x14ac:dyDescent="0.25">
      <c r="A65" t="s">
        <v>43</v>
      </c>
      <c r="B65" t="s">
        <v>53</v>
      </c>
      <c r="C65" t="s">
        <v>186</v>
      </c>
      <c r="D65" t="s">
        <v>194</v>
      </c>
    </row>
    <row r="66" spans="1:4" x14ac:dyDescent="0.25">
      <c r="A66" t="s">
        <v>44</v>
      </c>
      <c r="B66" t="s">
        <v>71</v>
      </c>
      <c r="C66" t="s">
        <v>187</v>
      </c>
      <c r="D66" t="s">
        <v>194</v>
      </c>
    </row>
    <row r="67" spans="1:4" x14ac:dyDescent="0.25">
      <c r="A67" t="s">
        <v>45</v>
      </c>
      <c r="B67" t="s">
        <v>128</v>
      </c>
      <c r="C67" t="s">
        <v>128</v>
      </c>
      <c r="D67" t="s">
        <v>193</v>
      </c>
    </row>
    <row r="68" spans="1:4" x14ac:dyDescent="0.25">
      <c r="A68" t="s">
        <v>46</v>
      </c>
      <c r="B68" t="s">
        <v>128</v>
      </c>
      <c r="C68" t="s">
        <v>128</v>
      </c>
      <c r="D68" t="s">
        <v>193</v>
      </c>
    </row>
    <row r="69" spans="1:4" x14ac:dyDescent="0.25">
      <c r="A69" t="s">
        <v>47</v>
      </c>
      <c r="B69" t="s">
        <v>63</v>
      </c>
      <c r="C69" t="s">
        <v>184</v>
      </c>
      <c r="D69" t="s">
        <v>194</v>
      </c>
    </row>
    <row r="70" spans="1:4" x14ac:dyDescent="0.25">
      <c r="A70" t="s">
        <v>95</v>
      </c>
      <c r="B70" t="s">
        <v>58</v>
      </c>
      <c r="C70" t="s">
        <v>185</v>
      </c>
      <c r="D70" t="s">
        <v>194</v>
      </c>
    </row>
    <row r="71" spans="1:4" x14ac:dyDescent="0.25">
      <c r="A71" t="s">
        <v>96</v>
      </c>
      <c r="B71" t="s">
        <v>53</v>
      </c>
      <c r="C71" t="s">
        <v>186</v>
      </c>
      <c r="D71" t="s">
        <v>194</v>
      </c>
    </row>
    <row r="72" spans="1:4" x14ac:dyDescent="0.25">
      <c r="A72" t="s">
        <v>97</v>
      </c>
      <c r="B72" t="s">
        <v>71</v>
      </c>
      <c r="C72" t="s">
        <v>187</v>
      </c>
      <c r="D72" t="s">
        <v>194</v>
      </c>
    </row>
    <row r="73" spans="1:4" x14ac:dyDescent="0.25">
      <c r="A73" t="s">
        <v>98</v>
      </c>
    </row>
    <row r="74" spans="1:4" x14ac:dyDescent="0.25">
      <c r="A74" t="s">
        <v>99</v>
      </c>
    </row>
    <row r="75" spans="1:4" x14ac:dyDescent="0.25">
      <c r="A75" t="s">
        <v>100</v>
      </c>
      <c r="B75" t="s">
        <v>66</v>
      </c>
      <c r="C75" t="s">
        <v>188</v>
      </c>
      <c r="D75" t="s">
        <v>194</v>
      </c>
    </row>
    <row r="76" spans="1:4" x14ac:dyDescent="0.25">
      <c r="A76" t="s">
        <v>101</v>
      </c>
      <c r="B76" t="s">
        <v>61</v>
      </c>
      <c r="C76" t="s">
        <v>189</v>
      </c>
      <c r="D76" t="s">
        <v>194</v>
      </c>
    </row>
    <row r="77" spans="1:4" x14ac:dyDescent="0.25">
      <c r="A77" t="s">
        <v>102</v>
      </c>
      <c r="B77" t="s">
        <v>56</v>
      </c>
      <c r="C77" t="s">
        <v>190</v>
      </c>
      <c r="D77" t="s">
        <v>194</v>
      </c>
    </row>
    <row r="78" spans="1:4" x14ac:dyDescent="0.25">
      <c r="A78" t="s">
        <v>103</v>
      </c>
      <c r="B78" t="s">
        <v>74</v>
      </c>
      <c r="C78" t="s">
        <v>191</v>
      </c>
      <c r="D78" t="s">
        <v>194</v>
      </c>
    </row>
    <row r="79" spans="1:4" x14ac:dyDescent="0.25">
      <c r="A79" t="s">
        <v>104</v>
      </c>
      <c r="B79" t="s">
        <v>129</v>
      </c>
      <c r="C79" t="s">
        <v>129</v>
      </c>
      <c r="D79" t="s">
        <v>193</v>
      </c>
    </row>
    <row r="80" spans="1:4" x14ac:dyDescent="0.25">
      <c r="A80" t="s">
        <v>105</v>
      </c>
      <c r="B80" t="s">
        <v>129</v>
      </c>
      <c r="C80" t="s">
        <v>129</v>
      </c>
      <c r="D80" t="s">
        <v>193</v>
      </c>
    </row>
    <row r="81" spans="1:4" x14ac:dyDescent="0.25">
      <c r="A81" t="s">
        <v>106</v>
      </c>
      <c r="B81" t="s">
        <v>66</v>
      </c>
      <c r="C81" t="s">
        <v>188</v>
      </c>
      <c r="D81" t="s">
        <v>194</v>
      </c>
    </row>
    <row r="82" spans="1:4" x14ac:dyDescent="0.25">
      <c r="A82" t="s">
        <v>107</v>
      </c>
      <c r="B82" t="s">
        <v>61</v>
      </c>
      <c r="C82" t="s">
        <v>189</v>
      </c>
      <c r="D82" t="s">
        <v>194</v>
      </c>
    </row>
    <row r="83" spans="1:4" x14ac:dyDescent="0.25">
      <c r="A83" t="s">
        <v>108</v>
      </c>
      <c r="B83" t="s">
        <v>56</v>
      </c>
      <c r="C83" t="s">
        <v>190</v>
      </c>
      <c r="D83" t="s">
        <v>194</v>
      </c>
    </row>
    <row r="84" spans="1:4" x14ac:dyDescent="0.25">
      <c r="A84" t="s">
        <v>109</v>
      </c>
      <c r="B84" t="s">
        <v>74</v>
      </c>
      <c r="C84" t="s">
        <v>191</v>
      </c>
      <c r="D84" t="s">
        <v>194</v>
      </c>
    </row>
    <row r="85" spans="1:4" x14ac:dyDescent="0.25">
      <c r="A85" t="s">
        <v>110</v>
      </c>
    </row>
    <row r="86" spans="1:4" x14ac:dyDescent="0.25">
      <c r="A86" t="s">
        <v>111</v>
      </c>
    </row>
    <row r="87" spans="1:4" x14ac:dyDescent="0.25">
      <c r="A87" t="s">
        <v>112</v>
      </c>
    </row>
    <row r="88" spans="1:4" x14ac:dyDescent="0.25">
      <c r="A88" t="s">
        <v>113</v>
      </c>
    </row>
    <row r="89" spans="1:4" x14ac:dyDescent="0.25">
      <c r="A89" t="s">
        <v>114</v>
      </c>
    </row>
    <row r="90" spans="1:4" x14ac:dyDescent="0.25">
      <c r="A90" t="s">
        <v>115</v>
      </c>
    </row>
    <row r="91" spans="1:4" x14ac:dyDescent="0.25">
      <c r="A91" t="s">
        <v>116</v>
      </c>
      <c r="B91" t="s">
        <v>130</v>
      </c>
      <c r="C91" t="s">
        <v>130</v>
      </c>
      <c r="D91" t="s">
        <v>193</v>
      </c>
    </row>
    <row r="92" spans="1:4" x14ac:dyDescent="0.25">
      <c r="A92" t="s">
        <v>117</v>
      </c>
      <c r="B92" t="s">
        <v>130</v>
      </c>
      <c r="C92" t="s">
        <v>130</v>
      </c>
      <c r="D92" t="s">
        <v>193</v>
      </c>
    </row>
    <row r="93" spans="1:4" x14ac:dyDescent="0.25">
      <c r="A93" t="s">
        <v>118</v>
      </c>
    </row>
    <row r="94" spans="1:4" x14ac:dyDescent="0.25">
      <c r="A94" t="s">
        <v>119</v>
      </c>
    </row>
    <row r="95" spans="1:4" x14ac:dyDescent="0.25">
      <c r="A95" t="s">
        <v>120</v>
      </c>
    </row>
    <row r="96" spans="1:4" x14ac:dyDescent="0.25">
      <c r="A96" t="s">
        <v>121</v>
      </c>
    </row>
    <row r="97" spans="1:1" x14ac:dyDescent="0.25">
      <c r="A97" t="s">
        <v>122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A9"/>
    </sheetView>
  </sheetViews>
  <sheetFormatPr baseColWidth="10" defaultColWidth="9.140625" defaultRowHeight="15" x14ac:dyDescent="0.25"/>
  <cols>
    <col min="1" max="1" width="13.28515625" customWidth="1"/>
    <col min="2" max="2" width="18" bestFit="1" customWidth="1"/>
  </cols>
  <sheetData>
    <row r="1" spans="1:2" x14ac:dyDescent="0.25">
      <c r="A1" t="s">
        <v>162</v>
      </c>
      <c r="B1" t="s">
        <v>195</v>
      </c>
    </row>
    <row r="2" spans="1:2" x14ac:dyDescent="0.25">
      <c r="A2" t="s">
        <v>130</v>
      </c>
      <c r="B2">
        <v>3.9E-2</v>
      </c>
    </row>
    <row r="3" spans="1:2" x14ac:dyDescent="0.25">
      <c r="A3" t="s">
        <v>129</v>
      </c>
      <c r="B3">
        <v>7.8E-2</v>
      </c>
    </row>
    <row r="4" spans="1:2" x14ac:dyDescent="0.25">
      <c r="A4" t="s">
        <v>128</v>
      </c>
      <c r="B4">
        <v>0.156</v>
      </c>
    </row>
    <row r="5" spans="1:2" x14ac:dyDescent="0.25">
      <c r="A5" t="s">
        <v>127</v>
      </c>
      <c r="B5">
        <v>0.316</v>
      </c>
    </row>
    <row r="6" spans="1:2" x14ac:dyDescent="0.25">
      <c r="A6" t="s">
        <v>126</v>
      </c>
      <c r="B6">
        <v>0.625</v>
      </c>
    </row>
    <row r="7" spans="1:2" x14ac:dyDescent="0.25">
      <c r="A7" t="s">
        <v>125</v>
      </c>
      <c r="B7">
        <v>1.25</v>
      </c>
    </row>
    <row r="8" spans="1:2" x14ac:dyDescent="0.25">
      <c r="A8" t="s">
        <v>124</v>
      </c>
      <c r="B8">
        <v>2.5</v>
      </c>
    </row>
    <row r="9" spans="1:2" x14ac:dyDescent="0.25">
      <c r="A9" t="s">
        <v>123</v>
      </c>
      <c r="B9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I36" sqref="I36"/>
    </sheetView>
  </sheetViews>
  <sheetFormatPr baseColWidth="10" defaultColWidth="10.85546875" defaultRowHeight="15" x14ac:dyDescent="0.25"/>
  <cols>
    <col min="1" max="1" width="23.140625" customWidth="1"/>
    <col min="2" max="2" width="14.7109375" bestFit="1" customWidth="1"/>
    <col min="3" max="3" width="28" bestFit="1" customWidth="1"/>
    <col min="4" max="4" width="14.28515625" bestFit="1" customWidth="1"/>
    <col min="5" max="5" width="13.85546875" bestFit="1" customWidth="1"/>
    <col min="6" max="6" width="15.7109375" bestFit="1" customWidth="1"/>
  </cols>
  <sheetData>
    <row r="1" spans="1:6" x14ac:dyDescent="0.25">
      <c r="A1" s="4" t="s">
        <v>220</v>
      </c>
      <c r="B1" s="1" t="s">
        <v>196</v>
      </c>
      <c r="C1" s="1" t="s">
        <v>167</v>
      </c>
      <c r="D1" s="2" t="s">
        <v>162</v>
      </c>
      <c r="E1" s="2" t="s">
        <v>192</v>
      </c>
      <c r="F1" s="2" t="s">
        <v>197</v>
      </c>
    </row>
    <row r="2" spans="1:6" x14ac:dyDescent="0.25">
      <c r="A2" s="3" t="s">
        <v>219</v>
      </c>
      <c r="B2" t="s">
        <v>0</v>
      </c>
      <c r="C2" s="6" t="s">
        <v>230</v>
      </c>
      <c r="D2" s="6" t="s">
        <v>230</v>
      </c>
      <c r="E2" t="s">
        <v>193</v>
      </c>
      <c r="F2">
        <v>1</v>
      </c>
    </row>
    <row r="3" spans="1:6" x14ac:dyDescent="0.25">
      <c r="A3" t="s">
        <v>219</v>
      </c>
      <c r="B3" t="s">
        <v>1</v>
      </c>
      <c r="C3" s="7" t="s">
        <v>230</v>
      </c>
      <c r="D3" s="7" t="s">
        <v>230</v>
      </c>
      <c r="E3" t="s">
        <v>193</v>
      </c>
      <c r="F3">
        <v>1</v>
      </c>
    </row>
    <row r="4" spans="1:6" x14ac:dyDescent="0.25">
      <c r="A4" s="3" t="s">
        <v>219</v>
      </c>
      <c r="B4" t="s">
        <v>2</v>
      </c>
      <c r="C4" s="6" t="s">
        <v>230</v>
      </c>
      <c r="D4" s="6" t="s">
        <v>230</v>
      </c>
      <c r="E4" t="s">
        <v>193</v>
      </c>
      <c r="F4">
        <v>1</v>
      </c>
    </row>
    <row r="5" spans="1:6" x14ac:dyDescent="0.25">
      <c r="A5" t="s">
        <v>219</v>
      </c>
      <c r="B5" t="s">
        <v>3</v>
      </c>
      <c r="C5" t="s">
        <v>198</v>
      </c>
      <c r="D5" t="s">
        <v>168</v>
      </c>
      <c r="E5" t="s">
        <v>194</v>
      </c>
      <c r="F5">
        <v>1</v>
      </c>
    </row>
    <row r="6" spans="1:6" x14ac:dyDescent="0.25">
      <c r="A6" s="3" t="s">
        <v>219</v>
      </c>
      <c r="B6" t="s">
        <v>4</v>
      </c>
      <c r="C6" t="s">
        <v>199</v>
      </c>
      <c r="D6" t="s">
        <v>177</v>
      </c>
      <c r="E6" t="s">
        <v>194</v>
      </c>
      <c r="F6">
        <v>1</v>
      </c>
    </row>
    <row r="7" spans="1:6" x14ac:dyDescent="0.25">
      <c r="A7" t="s">
        <v>219</v>
      </c>
      <c r="B7" t="s">
        <v>5</v>
      </c>
      <c r="C7" t="s">
        <v>53</v>
      </c>
      <c r="D7" t="s">
        <v>186</v>
      </c>
      <c r="E7" t="s">
        <v>194</v>
      </c>
      <c r="F7">
        <v>1</v>
      </c>
    </row>
    <row r="8" spans="1:6" x14ac:dyDescent="0.25">
      <c r="A8" s="3" t="s">
        <v>219</v>
      </c>
      <c r="B8" t="s">
        <v>8</v>
      </c>
      <c r="C8" t="s">
        <v>229</v>
      </c>
      <c r="D8" t="s">
        <v>229</v>
      </c>
      <c r="E8" t="s">
        <v>193</v>
      </c>
      <c r="F8">
        <v>1</v>
      </c>
    </row>
    <row r="9" spans="1:6" x14ac:dyDescent="0.25">
      <c r="A9" t="s">
        <v>219</v>
      </c>
      <c r="B9" t="s">
        <v>9</v>
      </c>
      <c r="C9" t="s">
        <v>229</v>
      </c>
      <c r="D9" t="s">
        <v>229</v>
      </c>
      <c r="E9" t="s">
        <v>193</v>
      </c>
      <c r="F9">
        <v>1</v>
      </c>
    </row>
    <row r="10" spans="1:6" x14ac:dyDescent="0.25">
      <c r="A10" s="3" t="s">
        <v>219</v>
      </c>
      <c r="B10" t="s">
        <v>10</v>
      </c>
      <c r="C10" t="s">
        <v>229</v>
      </c>
      <c r="D10" t="s">
        <v>229</v>
      </c>
      <c r="E10" t="s">
        <v>193</v>
      </c>
      <c r="F10">
        <v>1</v>
      </c>
    </row>
    <row r="11" spans="1:6" x14ac:dyDescent="0.25">
      <c r="A11" t="s">
        <v>219</v>
      </c>
      <c r="B11" t="s">
        <v>11</v>
      </c>
      <c r="C11" t="s">
        <v>200</v>
      </c>
      <c r="D11" t="s">
        <v>172</v>
      </c>
      <c r="E11" t="s">
        <v>194</v>
      </c>
      <c r="F11">
        <v>1</v>
      </c>
    </row>
    <row r="12" spans="1:6" x14ac:dyDescent="0.25">
      <c r="A12" s="3" t="s">
        <v>219</v>
      </c>
      <c r="B12" t="s">
        <v>12</v>
      </c>
      <c r="C12" t="s">
        <v>201</v>
      </c>
      <c r="D12" t="s">
        <v>181</v>
      </c>
      <c r="E12" t="s">
        <v>194</v>
      </c>
      <c r="F12">
        <v>1</v>
      </c>
    </row>
    <row r="13" spans="1:6" x14ac:dyDescent="0.25">
      <c r="A13" t="s">
        <v>219</v>
      </c>
      <c r="B13" t="s">
        <v>13</v>
      </c>
      <c r="C13" t="s">
        <v>202</v>
      </c>
      <c r="D13" t="s">
        <v>190</v>
      </c>
      <c r="E13" t="s">
        <v>194</v>
      </c>
      <c r="F13">
        <v>1</v>
      </c>
    </row>
    <row r="14" spans="1:6" x14ac:dyDescent="0.25">
      <c r="A14" s="3" t="s">
        <v>219</v>
      </c>
      <c r="B14" t="s">
        <v>16</v>
      </c>
      <c r="C14" t="s">
        <v>228</v>
      </c>
      <c r="D14" t="s">
        <v>228</v>
      </c>
      <c r="E14" t="s">
        <v>193</v>
      </c>
      <c r="F14">
        <v>1</v>
      </c>
    </row>
    <row r="15" spans="1:6" x14ac:dyDescent="0.25">
      <c r="A15" t="s">
        <v>219</v>
      </c>
      <c r="B15" t="s">
        <v>17</v>
      </c>
      <c r="C15" t="s">
        <v>228</v>
      </c>
      <c r="D15" t="s">
        <v>228</v>
      </c>
      <c r="E15" t="s">
        <v>193</v>
      </c>
      <c r="F15">
        <v>1</v>
      </c>
    </row>
    <row r="16" spans="1:6" x14ac:dyDescent="0.25">
      <c r="A16" s="3" t="s">
        <v>219</v>
      </c>
      <c r="B16" t="s">
        <v>18</v>
      </c>
      <c r="C16" t="s">
        <v>228</v>
      </c>
      <c r="D16" t="s">
        <v>228</v>
      </c>
      <c r="E16" t="s">
        <v>193</v>
      </c>
      <c r="F16">
        <v>1</v>
      </c>
    </row>
    <row r="17" spans="1:6" x14ac:dyDescent="0.25">
      <c r="A17" t="s">
        <v>219</v>
      </c>
      <c r="B17" t="s">
        <v>19</v>
      </c>
      <c r="C17" t="s">
        <v>203</v>
      </c>
      <c r="D17" t="s">
        <v>176</v>
      </c>
      <c r="E17" t="s">
        <v>194</v>
      </c>
      <c r="F17">
        <v>1</v>
      </c>
    </row>
    <row r="18" spans="1:6" x14ac:dyDescent="0.25">
      <c r="A18" s="3" t="s">
        <v>219</v>
      </c>
      <c r="B18" t="s">
        <v>20</v>
      </c>
      <c r="C18" t="s">
        <v>204</v>
      </c>
      <c r="D18" t="s">
        <v>185</v>
      </c>
      <c r="E18" t="s">
        <v>194</v>
      </c>
      <c r="F18">
        <v>1</v>
      </c>
    </row>
    <row r="19" spans="1:6" x14ac:dyDescent="0.25">
      <c r="A19" t="s">
        <v>219</v>
      </c>
      <c r="B19" t="s">
        <v>21</v>
      </c>
      <c r="C19" t="s">
        <v>205</v>
      </c>
      <c r="D19" t="s">
        <v>171</v>
      </c>
      <c r="E19" t="s">
        <v>194</v>
      </c>
      <c r="F19">
        <v>1</v>
      </c>
    </row>
    <row r="20" spans="1:6" x14ac:dyDescent="0.25">
      <c r="A20" s="3" t="s">
        <v>219</v>
      </c>
      <c r="B20" t="s">
        <v>24</v>
      </c>
      <c r="C20" t="s">
        <v>227</v>
      </c>
      <c r="D20" t="s">
        <v>227</v>
      </c>
      <c r="E20" t="s">
        <v>193</v>
      </c>
      <c r="F20">
        <v>1</v>
      </c>
    </row>
    <row r="21" spans="1:6" x14ac:dyDescent="0.25">
      <c r="A21" t="s">
        <v>219</v>
      </c>
      <c r="B21" t="s">
        <v>25</v>
      </c>
      <c r="C21" t="s">
        <v>227</v>
      </c>
      <c r="D21" t="s">
        <v>227</v>
      </c>
      <c r="E21" t="s">
        <v>193</v>
      </c>
      <c r="F21">
        <v>1</v>
      </c>
    </row>
    <row r="22" spans="1:6" x14ac:dyDescent="0.25">
      <c r="A22" s="3" t="s">
        <v>219</v>
      </c>
      <c r="B22" t="s">
        <v>26</v>
      </c>
      <c r="C22" t="s">
        <v>227</v>
      </c>
      <c r="D22" t="s">
        <v>227</v>
      </c>
      <c r="E22" t="s">
        <v>193</v>
      </c>
      <c r="F22">
        <v>1</v>
      </c>
    </row>
    <row r="23" spans="1:6" x14ac:dyDescent="0.25">
      <c r="A23" t="s">
        <v>219</v>
      </c>
      <c r="B23" t="s">
        <v>27</v>
      </c>
      <c r="C23" t="s">
        <v>206</v>
      </c>
      <c r="D23" t="s">
        <v>180</v>
      </c>
      <c r="E23" t="s">
        <v>194</v>
      </c>
      <c r="F23">
        <v>1</v>
      </c>
    </row>
    <row r="24" spans="1:6" x14ac:dyDescent="0.25">
      <c r="A24" s="3" t="s">
        <v>219</v>
      </c>
      <c r="B24" t="s">
        <v>28</v>
      </c>
      <c r="C24" t="s">
        <v>207</v>
      </c>
      <c r="D24" t="s">
        <v>189</v>
      </c>
      <c r="E24" t="s">
        <v>194</v>
      </c>
      <c r="F24">
        <v>1</v>
      </c>
    </row>
    <row r="25" spans="1:6" x14ac:dyDescent="0.25">
      <c r="A25" t="s">
        <v>219</v>
      </c>
      <c r="B25" t="s">
        <v>29</v>
      </c>
      <c r="C25" t="s">
        <v>208</v>
      </c>
      <c r="D25" t="s">
        <v>175</v>
      </c>
      <c r="E25" t="s">
        <v>194</v>
      </c>
      <c r="F25">
        <v>1</v>
      </c>
    </row>
    <row r="26" spans="1:6" x14ac:dyDescent="0.25">
      <c r="A26" s="3" t="s">
        <v>219</v>
      </c>
      <c r="B26" t="s">
        <v>32</v>
      </c>
      <c r="C26" t="s">
        <v>226</v>
      </c>
      <c r="D26" t="s">
        <v>226</v>
      </c>
      <c r="E26" t="s">
        <v>193</v>
      </c>
      <c r="F26">
        <v>1</v>
      </c>
    </row>
    <row r="27" spans="1:6" x14ac:dyDescent="0.25">
      <c r="A27" t="s">
        <v>219</v>
      </c>
      <c r="B27" t="s">
        <v>33</v>
      </c>
      <c r="C27" t="s">
        <v>226</v>
      </c>
      <c r="D27" t="s">
        <v>226</v>
      </c>
      <c r="E27" t="s">
        <v>193</v>
      </c>
      <c r="F27">
        <v>1</v>
      </c>
    </row>
    <row r="28" spans="1:6" x14ac:dyDescent="0.25">
      <c r="A28" s="3" t="s">
        <v>219</v>
      </c>
      <c r="B28" t="s">
        <v>34</v>
      </c>
      <c r="C28" t="s">
        <v>226</v>
      </c>
      <c r="D28" t="s">
        <v>226</v>
      </c>
      <c r="E28" t="s">
        <v>193</v>
      </c>
      <c r="F28">
        <v>1</v>
      </c>
    </row>
    <row r="29" spans="1:6" x14ac:dyDescent="0.25">
      <c r="A29" t="s">
        <v>219</v>
      </c>
      <c r="B29" t="s">
        <v>35</v>
      </c>
      <c r="C29" t="s">
        <v>209</v>
      </c>
      <c r="D29" t="s">
        <v>184</v>
      </c>
      <c r="E29" t="s">
        <v>194</v>
      </c>
      <c r="F29">
        <v>1</v>
      </c>
    </row>
    <row r="30" spans="1:6" x14ac:dyDescent="0.25">
      <c r="A30" s="3" t="s">
        <v>219</v>
      </c>
      <c r="B30" t="s">
        <v>36</v>
      </c>
      <c r="C30" t="s">
        <v>210</v>
      </c>
      <c r="D30" t="s">
        <v>170</v>
      </c>
      <c r="E30" t="s">
        <v>194</v>
      </c>
      <c r="F30">
        <v>1</v>
      </c>
    </row>
    <row r="31" spans="1:6" x14ac:dyDescent="0.25">
      <c r="A31" t="s">
        <v>219</v>
      </c>
      <c r="B31" t="s">
        <v>37</v>
      </c>
      <c r="C31" t="s">
        <v>211</v>
      </c>
      <c r="D31" t="s">
        <v>179</v>
      </c>
      <c r="E31" t="s">
        <v>194</v>
      </c>
      <c r="F31">
        <v>1</v>
      </c>
    </row>
    <row r="32" spans="1:6" x14ac:dyDescent="0.25">
      <c r="A32" s="3" t="s">
        <v>219</v>
      </c>
      <c r="B32" t="s">
        <v>40</v>
      </c>
      <c r="C32" t="s">
        <v>225</v>
      </c>
      <c r="D32" t="s">
        <v>225</v>
      </c>
      <c r="E32" t="s">
        <v>193</v>
      </c>
      <c r="F32">
        <v>1</v>
      </c>
    </row>
    <row r="33" spans="1:6" x14ac:dyDescent="0.25">
      <c r="A33" t="s">
        <v>219</v>
      </c>
      <c r="B33" t="s">
        <v>41</v>
      </c>
      <c r="C33" t="s">
        <v>225</v>
      </c>
      <c r="D33" t="s">
        <v>225</v>
      </c>
      <c r="E33" t="s">
        <v>193</v>
      </c>
      <c r="F33">
        <v>1</v>
      </c>
    </row>
    <row r="34" spans="1:6" x14ac:dyDescent="0.25">
      <c r="A34" s="3" t="s">
        <v>219</v>
      </c>
      <c r="B34" t="s">
        <v>42</v>
      </c>
      <c r="C34" t="s">
        <v>225</v>
      </c>
      <c r="D34" t="s">
        <v>225</v>
      </c>
      <c r="E34" t="s">
        <v>193</v>
      </c>
      <c r="F34">
        <v>1</v>
      </c>
    </row>
    <row r="35" spans="1:6" x14ac:dyDescent="0.25">
      <c r="A35" t="s">
        <v>219</v>
      </c>
      <c r="B35" t="s">
        <v>43</v>
      </c>
      <c r="C35" t="s">
        <v>212</v>
      </c>
      <c r="D35" t="s">
        <v>188</v>
      </c>
      <c r="E35" t="s">
        <v>194</v>
      </c>
      <c r="F35">
        <v>1</v>
      </c>
    </row>
    <row r="36" spans="1:6" x14ac:dyDescent="0.25">
      <c r="A36" s="3" t="s">
        <v>219</v>
      </c>
      <c r="B36" t="s">
        <v>44</v>
      </c>
      <c r="C36" t="s">
        <v>213</v>
      </c>
      <c r="D36" t="s">
        <v>174</v>
      </c>
      <c r="E36" t="s">
        <v>194</v>
      </c>
      <c r="F36">
        <v>1</v>
      </c>
    </row>
    <row r="37" spans="1:6" x14ac:dyDescent="0.25">
      <c r="A37" t="s">
        <v>219</v>
      </c>
      <c r="B37" t="s">
        <v>45</v>
      </c>
      <c r="C37" t="s">
        <v>214</v>
      </c>
      <c r="D37" t="s">
        <v>183</v>
      </c>
      <c r="E37" t="s">
        <v>194</v>
      </c>
      <c r="F37">
        <v>1</v>
      </c>
    </row>
    <row r="38" spans="1:6" x14ac:dyDescent="0.25">
      <c r="A38" s="3" t="s">
        <v>219</v>
      </c>
      <c r="B38" t="s">
        <v>99</v>
      </c>
      <c r="C38" t="s">
        <v>224</v>
      </c>
      <c r="D38" t="s">
        <v>224</v>
      </c>
      <c r="E38" t="s">
        <v>193</v>
      </c>
      <c r="F38">
        <v>1</v>
      </c>
    </row>
    <row r="39" spans="1:6" x14ac:dyDescent="0.25">
      <c r="A39" t="s">
        <v>219</v>
      </c>
      <c r="B39" t="s">
        <v>100</v>
      </c>
      <c r="C39" t="s">
        <v>224</v>
      </c>
      <c r="D39" t="s">
        <v>224</v>
      </c>
      <c r="E39" t="s">
        <v>193</v>
      </c>
      <c r="F39">
        <v>1</v>
      </c>
    </row>
    <row r="40" spans="1:6" x14ac:dyDescent="0.25">
      <c r="A40" s="3" t="s">
        <v>219</v>
      </c>
      <c r="B40" t="s">
        <v>101</v>
      </c>
      <c r="C40" t="s">
        <v>224</v>
      </c>
      <c r="D40" s="5" t="s">
        <v>224</v>
      </c>
      <c r="E40" t="s">
        <v>193</v>
      </c>
      <c r="F40">
        <v>1</v>
      </c>
    </row>
    <row r="41" spans="1:6" x14ac:dyDescent="0.25">
      <c r="A41" t="s">
        <v>219</v>
      </c>
      <c r="B41" t="s">
        <v>102</v>
      </c>
      <c r="C41" t="s">
        <v>69</v>
      </c>
      <c r="D41" t="s">
        <v>169</v>
      </c>
      <c r="E41" t="s">
        <v>194</v>
      </c>
      <c r="F41">
        <v>1</v>
      </c>
    </row>
    <row r="42" spans="1:6" x14ac:dyDescent="0.25">
      <c r="A42" s="3" t="s">
        <v>219</v>
      </c>
      <c r="B42" t="s">
        <v>103</v>
      </c>
      <c r="C42" t="s">
        <v>215</v>
      </c>
      <c r="D42" t="s">
        <v>178</v>
      </c>
      <c r="E42" t="s">
        <v>194</v>
      </c>
      <c r="F42">
        <v>1</v>
      </c>
    </row>
    <row r="43" spans="1:6" x14ac:dyDescent="0.25">
      <c r="A43" t="s">
        <v>219</v>
      </c>
      <c r="B43" t="s">
        <v>104</v>
      </c>
      <c r="C43" t="s">
        <v>216</v>
      </c>
      <c r="D43" t="s">
        <v>187</v>
      </c>
      <c r="E43" t="s">
        <v>194</v>
      </c>
      <c r="F43">
        <v>1</v>
      </c>
    </row>
    <row r="44" spans="1:6" x14ac:dyDescent="0.25">
      <c r="A44" s="3" t="s">
        <v>219</v>
      </c>
      <c r="B44" t="s">
        <v>111</v>
      </c>
      <c r="C44" s="3" t="s">
        <v>223</v>
      </c>
      <c r="D44" s="3" t="s">
        <v>223</v>
      </c>
      <c r="E44" t="s">
        <v>193</v>
      </c>
      <c r="F44">
        <v>1</v>
      </c>
    </row>
    <row r="45" spans="1:6" x14ac:dyDescent="0.25">
      <c r="A45" t="s">
        <v>219</v>
      </c>
      <c r="B45" t="s">
        <v>112</v>
      </c>
      <c r="C45" s="3" t="s">
        <v>223</v>
      </c>
      <c r="D45" s="3" t="s">
        <v>223</v>
      </c>
      <c r="E45" t="s">
        <v>193</v>
      </c>
      <c r="F45">
        <v>1</v>
      </c>
    </row>
    <row r="46" spans="1:6" x14ac:dyDescent="0.25">
      <c r="A46" s="3" t="s">
        <v>219</v>
      </c>
      <c r="B46" t="s">
        <v>113</v>
      </c>
      <c r="C46" s="3" t="s">
        <v>223</v>
      </c>
      <c r="D46" s="3" t="s">
        <v>223</v>
      </c>
      <c r="E46" t="s">
        <v>193</v>
      </c>
      <c r="F46">
        <v>1</v>
      </c>
    </row>
    <row r="47" spans="1:6" x14ac:dyDescent="0.25">
      <c r="A47" t="s">
        <v>219</v>
      </c>
      <c r="B47" t="s">
        <v>114</v>
      </c>
      <c r="C47" t="s">
        <v>217</v>
      </c>
      <c r="D47" t="s">
        <v>173</v>
      </c>
      <c r="E47" t="s">
        <v>194</v>
      </c>
      <c r="F47">
        <v>1</v>
      </c>
    </row>
    <row r="48" spans="1:6" x14ac:dyDescent="0.25">
      <c r="A48" s="3" t="s">
        <v>219</v>
      </c>
      <c r="B48" t="s">
        <v>115</v>
      </c>
      <c r="C48" t="s">
        <v>218</v>
      </c>
      <c r="D48" t="s">
        <v>182</v>
      </c>
      <c r="E48" t="s">
        <v>194</v>
      </c>
      <c r="F48">
        <v>1</v>
      </c>
    </row>
    <row r="49" spans="1:6" x14ac:dyDescent="0.25">
      <c r="A49" t="s">
        <v>219</v>
      </c>
      <c r="B49" t="s">
        <v>116</v>
      </c>
      <c r="C49" t="s">
        <v>151</v>
      </c>
      <c r="D49" t="s">
        <v>191</v>
      </c>
      <c r="E49" t="s">
        <v>194</v>
      </c>
      <c r="F49">
        <v>1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F13" sqref="F13"/>
    </sheetView>
  </sheetViews>
  <sheetFormatPr baseColWidth="10" defaultColWidth="10.85546875" defaultRowHeight="15" x14ac:dyDescent="0.25"/>
  <cols>
    <col min="1" max="1" width="17.85546875" customWidth="1"/>
    <col min="2" max="2" width="27.42578125" bestFit="1" customWidth="1"/>
    <col min="3" max="3" width="24.85546875" bestFit="1" customWidth="1"/>
  </cols>
  <sheetData>
    <row r="1" spans="1:3" x14ac:dyDescent="0.25">
      <c r="A1" t="s">
        <v>162</v>
      </c>
      <c r="B1" t="s">
        <v>221</v>
      </c>
      <c r="C1" t="s">
        <v>222</v>
      </c>
    </row>
    <row r="2" spans="1:3" x14ac:dyDescent="0.25">
      <c r="A2" s="6" t="s">
        <v>223</v>
      </c>
      <c r="B2">
        <v>0</v>
      </c>
      <c r="C2">
        <v>0</v>
      </c>
    </row>
    <row r="3" spans="1:3" x14ac:dyDescent="0.25">
      <c r="A3" s="7" t="s">
        <v>224</v>
      </c>
      <c r="B3">
        <v>0.156</v>
      </c>
      <c r="C3">
        <v>5.7897299999999999E-3</v>
      </c>
    </row>
    <row r="4" spans="1:3" x14ac:dyDescent="0.25">
      <c r="A4" s="7" t="s">
        <v>225</v>
      </c>
      <c r="B4">
        <v>0.313</v>
      </c>
      <c r="C4">
        <v>1.1616573999999999E-2</v>
      </c>
    </row>
    <row r="5" spans="1:3" x14ac:dyDescent="0.25">
      <c r="A5" s="7" t="s">
        <v>226</v>
      </c>
      <c r="B5">
        <v>0.625</v>
      </c>
      <c r="C5">
        <v>2.3196035E-2</v>
      </c>
    </row>
    <row r="6" spans="1:3" x14ac:dyDescent="0.25">
      <c r="A6" s="7" t="s">
        <v>227</v>
      </c>
      <c r="B6">
        <v>1.25</v>
      </c>
      <c r="C6">
        <v>4.6392070000000001E-2</v>
      </c>
    </row>
    <row r="7" spans="1:3" x14ac:dyDescent="0.25">
      <c r="A7" s="7" t="s">
        <v>228</v>
      </c>
      <c r="B7">
        <v>2.5</v>
      </c>
      <c r="C7">
        <v>9.2784140000000001E-2</v>
      </c>
    </row>
    <row r="8" spans="1:3" x14ac:dyDescent="0.25">
      <c r="A8" s="7" t="s">
        <v>229</v>
      </c>
      <c r="B8">
        <v>5</v>
      </c>
      <c r="C8">
        <v>0.185568281</v>
      </c>
    </row>
    <row r="9" spans="1:3" x14ac:dyDescent="0.25">
      <c r="A9" t="s">
        <v>230</v>
      </c>
      <c r="B9">
        <v>10</v>
      </c>
      <c r="C9">
        <v>0.37113656099999998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meta</vt:lpstr>
      <vt:lpstr>biolectorlayout</vt:lpstr>
      <vt:lpstr>sGFPlayout</vt:lpstr>
      <vt:lpstr>sGFPstandards</vt:lpstr>
      <vt:lpstr>turbiditylayout</vt:lpstr>
      <vt:lpstr>turbiditystandards</vt:lpstr>
      <vt:lpstr>run_id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Prigolovkin, Lisa</cp:lastModifiedBy>
  <dcterms:created xsi:type="dcterms:W3CDTF">2022-03-18T14:01:19Z</dcterms:created>
  <dcterms:modified xsi:type="dcterms:W3CDTF">2025-08-05T07:37:19Z</dcterms:modified>
</cp:coreProperties>
</file>