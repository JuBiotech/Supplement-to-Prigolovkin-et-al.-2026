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golovkin\Desktop\Repos\lss-bandits\screenings\round_6\"/>
    </mc:Choice>
  </mc:AlternateContent>
  <bookViews>
    <workbookView xWindow="0" yWindow="0" windowWidth="19350" windowHeight="6600" tabRatio="907" activeTab="5"/>
  </bookViews>
  <sheets>
    <sheet name="meta" sheetId="5" r:id="rId1"/>
    <sheet name="biolectorlayout" sheetId="1" r:id="rId2"/>
    <sheet name="biolectorplate" sheetId="11" r:id="rId3"/>
    <sheet name="sGFPlayout" sheetId="2" r:id="rId4"/>
    <sheet name="sGFPstandards" sheetId="4" r:id="rId5"/>
    <sheet name="turbiditylayout" sheetId="9" r:id="rId6"/>
    <sheet name="turbiditystandards" sheetId="10" r:id="rId7"/>
  </sheets>
  <externalReferences>
    <externalReference r:id="rId8"/>
  </externalReferences>
  <definedNames>
    <definedName name="run_id" localSheetId="6">[1]!Table4[value]</definedName>
    <definedName name="run_id">Table4[value]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2" i="1" l="1"/>
  <c r="E3" i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C91" i="9" l="1"/>
  <c r="C79" i="9"/>
  <c r="C67" i="9"/>
  <c r="C55" i="9"/>
  <c r="C43" i="9"/>
  <c r="C31" i="9"/>
  <c r="C19" i="9"/>
  <c r="C7" i="9"/>
  <c r="C90" i="9"/>
  <c r="C78" i="9"/>
  <c r="C66" i="9"/>
  <c r="C54" i="9"/>
  <c r="C89" i="9"/>
  <c r="C18" i="9"/>
  <c r="C30" i="9"/>
  <c r="C42" i="9"/>
  <c r="C6" i="9"/>
  <c r="C77" i="9"/>
  <c r="C65" i="9"/>
  <c r="C53" i="9"/>
  <c r="C41" i="9"/>
  <c r="C29" i="9"/>
  <c r="C17" i="9"/>
  <c r="C5" i="9"/>
  <c r="C9" i="10" l="1"/>
  <c r="C8" i="10"/>
  <c r="C7" i="10"/>
  <c r="C6" i="10"/>
  <c r="C5" i="10"/>
  <c r="C4" i="10"/>
  <c r="C3" i="10"/>
  <c r="C2" i="10"/>
  <c r="B42" i="2" l="1"/>
  <c r="B48" i="2" s="1"/>
  <c r="B41" i="2"/>
  <c r="B29" i="2"/>
  <c r="B78" i="2" l="1"/>
  <c r="B84" i="2" s="1"/>
  <c r="B77" i="2"/>
  <c r="B83" i="2" s="1"/>
  <c r="B76" i="2"/>
  <c r="B82" i="2" s="1"/>
  <c r="B75" i="2"/>
  <c r="B81" i="2" s="1"/>
  <c r="B65" i="2"/>
  <c r="B71" i="2" s="1"/>
  <c r="B66" i="2"/>
  <c r="B72" i="2" s="1"/>
  <c r="B64" i="2"/>
  <c r="B70" i="2" s="1"/>
  <c r="B63" i="2"/>
  <c r="B69" i="2" s="1"/>
  <c r="B54" i="2"/>
  <c r="B60" i="2" s="1"/>
  <c r="B53" i="2"/>
  <c r="B59" i="2" s="1"/>
  <c r="B52" i="2"/>
  <c r="B58" i="2" s="1"/>
  <c r="B51" i="2"/>
  <c r="B57" i="2" s="1"/>
  <c r="B47" i="2"/>
  <c r="B40" i="2"/>
  <c r="B46" i="2" s="1"/>
  <c r="B39" i="2"/>
  <c r="B45" i="2" s="1"/>
  <c r="B35" i="2"/>
  <c r="B30" i="2"/>
  <c r="B36" i="2" s="1"/>
  <c r="B28" i="2"/>
  <c r="B34" i="2" s="1"/>
  <c r="B27" i="2"/>
  <c r="B33" i="2" s="1"/>
  <c r="B18" i="2"/>
  <c r="B24" i="2" s="1"/>
  <c r="B17" i="2"/>
  <c r="B23" i="2" s="1"/>
  <c r="B16" i="2"/>
  <c r="B22" i="2" s="1"/>
  <c r="B15" i="2"/>
  <c r="B21" i="2" s="1"/>
  <c r="B2" i="1" l="1"/>
  <c r="B3" i="1"/>
  <c r="D5" i="9" s="1"/>
  <c r="B4" i="1"/>
  <c r="B5" i="1"/>
  <c r="D77" i="9" s="1"/>
  <c r="B6" i="1"/>
  <c r="D54" i="9" s="1"/>
  <c r="B7" i="1"/>
  <c r="B8" i="1"/>
  <c r="D31" i="9" s="1"/>
  <c r="B9" i="1"/>
  <c r="B10" i="1"/>
  <c r="B11" i="1"/>
  <c r="D17" i="9" s="1"/>
  <c r="B12" i="1"/>
  <c r="B13" i="1"/>
  <c r="D89" i="9" s="1"/>
  <c r="B14" i="1"/>
  <c r="B15" i="1"/>
  <c r="B16" i="1"/>
  <c r="D43" i="9" s="1"/>
  <c r="B17" i="1"/>
  <c r="B18" i="1"/>
  <c r="B19" i="1"/>
  <c r="D29" i="9" s="1"/>
  <c r="B20" i="1"/>
  <c r="B21" i="1"/>
  <c r="D6" i="9" s="1"/>
  <c r="B22" i="1"/>
  <c r="B23" i="1"/>
  <c r="B24" i="1"/>
  <c r="D55" i="9" s="1"/>
  <c r="B25" i="1"/>
  <c r="B26" i="1"/>
  <c r="B27" i="1"/>
  <c r="D41" i="9" s="1"/>
  <c r="B28" i="1"/>
  <c r="B29" i="1"/>
  <c r="D18" i="9" s="1"/>
  <c r="B30" i="1"/>
  <c r="D90" i="9" s="1"/>
  <c r="B31" i="1"/>
  <c r="B32" i="1"/>
  <c r="D67" i="9" s="1"/>
  <c r="B33" i="1"/>
  <c r="B34" i="1"/>
  <c r="B35" i="1"/>
  <c r="D53" i="9" s="1"/>
  <c r="B36" i="1"/>
  <c r="B37" i="1"/>
  <c r="D30" i="9" s="1"/>
  <c r="B38" i="1"/>
  <c r="D7" i="9" s="1"/>
  <c r="B39" i="1"/>
  <c r="B40" i="1"/>
  <c r="D79" i="9" s="1"/>
  <c r="B41" i="1"/>
  <c r="B42" i="1"/>
  <c r="B43" i="1"/>
  <c r="D65" i="9" s="1"/>
  <c r="B44" i="1"/>
  <c r="B45" i="1"/>
  <c r="D42" i="9" s="1"/>
  <c r="B46" i="1"/>
  <c r="D19" i="9" s="1"/>
  <c r="B47" i="1"/>
  <c r="B48" i="1"/>
  <c r="D91" i="9" s="1"/>
  <c r="B49" i="1"/>
  <c r="C41" i="2" l="1"/>
  <c r="C47" i="2" s="1"/>
  <c r="D78" i="9"/>
  <c r="C29" i="2"/>
  <c r="C35" i="2" s="1"/>
  <c r="D66" i="9"/>
  <c r="C76" i="2"/>
  <c r="C82" i="2" s="1"/>
  <c r="C64" i="2"/>
  <c r="C70" i="2" s="1"/>
  <c r="C52" i="2"/>
  <c r="C58" i="2" s="1"/>
  <c r="C40" i="2"/>
  <c r="C46" i="2" s="1"/>
  <c r="C78" i="2"/>
  <c r="C84" i="2" s="1"/>
  <c r="C66" i="2"/>
  <c r="C72" i="2" s="1"/>
  <c r="C54" i="2"/>
  <c r="C60" i="2" s="1"/>
  <c r="C30" i="2"/>
  <c r="C36" i="2" s="1"/>
  <c r="C77" i="2"/>
  <c r="C83" i="2" s="1"/>
  <c r="C53" i="2"/>
  <c r="C59" i="2" s="1"/>
  <c r="C42" i="2"/>
  <c r="C48" i="2" s="1"/>
  <c r="C18" i="2"/>
  <c r="C24" i="2" s="1"/>
  <c r="C65" i="2"/>
  <c r="C71" i="2" s="1"/>
  <c r="C17" i="2"/>
  <c r="C23" i="2" s="1"/>
  <c r="C75" i="2"/>
  <c r="C81" i="2" s="1"/>
  <c r="C63" i="2"/>
  <c r="C69" i="2" s="1"/>
  <c r="C51" i="2"/>
  <c r="C57" i="2" s="1"/>
  <c r="C39" i="2"/>
  <c r="C45" i="2" s="1"/>
  <c r="C27" i="2"/>
  <c r="C33" i="2" s="1"/>
  <c r="C15" i="2"/>
  <c r="C21" i="2" s="1"/>
  <c r="C28" i="2"/>
  <c r="C34" i="2" s="1"/>
  <c r="C16" i="2"/>
  <c r="C22" i="2" s="1"/>
</calcChain>
</file>

<file path=xl/sharedStrings.xml><?xml version="1.0" encoding="utf-8"?>
<sst xmlns="http://schemas.openxmlformats.org/spreadsheetml/2006/main" count="777" uniqueCount="166">
  <si>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</si>
  <si>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</si>
  <si>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</si>
  <si>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</si>
  <si>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</si>
  <si>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</si>
  <si>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</si>
  <si>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</si>
  <si>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</si>
  <si>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</si>
  <si>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</si>
  <si>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</si>
  <si>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</si>
  <si>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</si>
  <si>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</si>
  <si>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</si>
  <si>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</si>
  <si>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</si>
  <si>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</si>
  <si>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</si>
  <si>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</si>
  <si>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</si>
  <si>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</si>
  <si>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</si>
  <si>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</si>
  <si>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</si>
  <si>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</si>
  <si>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</si>
  <si>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</si>
  <si>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</si>
  <si>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</si>
  <si>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</si>
  <si>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E01</t>
  </si>
  <si>
    <t>E02</t>
  </si>
  <si>
    <t>E03</t>
  </si>
  <si>
    <t>E04</t>
  </si>
  <si>
    <t>E05</t>
  </si>
  <si>
    <t>E06</t>
  </si>
  <si>
    <t>E07</t>
  </si>
  <si>
    <t>E08</t>
  </si>
  <si>
    <t>F01</t>
  </si>
  <si>
    <t>F02</t>
  </si>
  <si>
    <t>F03</t>
  </si>
  <si>
    <t>F04</t>
  </si>
  <si>
    <t>F05</t>
  </si>
  <si>
    <t>F06</t>
  </si>
  <si>
    <t>F07</t>
  </si>
  <si>
    <t>F08</t>
  </si>
  <si>
    <t>VK</t>
  </si>
  <si>
    <t>HK</t>
  </si>
  <si>
    <t xml:space="preserve">CGXII </t>
  </si>
  <si>
    <t>A09</t>
  </si>
  <si>
    <t>A10</t>
  </si>
  <si>
    <t>A11</t>
  </si>
  <si>
    <t>A12</t>
  </si>
  <si>
    <t>B09</t>
  </si>
  <si>
    <t>B10</t>
  </si>
  <si>
    <t>B11</t>
  </si>
  <si>
    <t>B12</t>
  </si>
  <si>
    <t>C09</t>
  </si>
  <si>
    <t>C10</t>
  </si>
  <si>
    <t>C11</t>
  </si>
  <si>
    <t>C12</t>
  </si>
  <si>
    <t>D09</t>
  </si>
  <si>
    <t>D10</t>
  </si>
  <si>
    <t>D11</t>
  </si>
  <si>
    <t>D12</t>
  </si>
  <si>
    <t>E09</t>
  </si>
  <si>
    <t>E10</t>
  </si>
  <si>
    <t>E11</t>
  </si>
  <si>
    <t>E12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</si>
  <si>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</si>
  <si>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</si>
  <si>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</si>
  <si>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</si>
  <si>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</si>
  <si>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</si>
  <si>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</si>
  <si>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</si>
  <si>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</si>
  <si>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</si>
  <si>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</si>
  <si>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</si>
  <si>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</si>
  <si>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</si>
  <si>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</si>
  <si>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</si>
  <si>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</si>
  <si>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</si>
  <si>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</si>
  <si>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</si>
  <si>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</si>
  <si>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</si>
  <si>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</si>
  <si>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</si>
  <si>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</si>
  <si>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</si>
  <si>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</si>
  <si>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</si>
  <si>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Std 5 µM</t>
  </si>
  <si>
    <t>Std 2.5 µM</t>
  </si>
  <si>
    <t>Std 1.25 µM</t>
  </si>
  <si>
    <t>Std 0.625 µM</t>
  </si>
  <si>
    <t>Std 0.316 µM</t>
  </si>
  <si>
    <t>Std 0.156 µM</t>
  </si>
  <si>
    <t>Std 0.078 µM</t>
  </si>
  <si>
    <t>Std 0.039 µM</t>
  </si>
  <si>
    <t>Lss</t>
  </si>
  <si>
    <t>GFP11</t>
  </si>
  <si>
    <t>DeimLss</t>
  </si>
  <si>
    <t>NprE</t>
  </si>
  <si>
    <t>Cutinase</t>
  </si>
  <si>
    <t>signal_peptide</t>
  </si>
  <si>
    <t>insert</t>
  </si>
  <si>
    <t>tag</t>
  </si>
  <si>
    <t>notag</t>
  </si>
  <si>
    <t>fp_well</t>
  </si>
  <si>
    <t>medium</t>
  </si>
  <si>
    <t>culture</t>
  </si>
  <si>
    <t>plasmid</t>
  </si>
  <si>
    <t>sgfp_well</t>
  </si>
  <si>
    <t>sample_id</t>
  </si>
  <si>
    <t>run_id</t>
  </si>
  <si>
    <t>key</t>
  </si>
  <si>
    <t>value</t>
  </si>
  <si>
    <t>content</t>
  </si>
  <si>
    <t>sample_type</t>
  </si>
  <si>
    <t>Standard</t>
  </si>
  <si>
    <t>xSample</t>
  </si>
  <si>
    <t>gfp_concentration</t>
  </si>
  <si>
    <t>turbidity_well</t>
  </si>
  <si>
    <t>Std 5 µg/mL</t>
  </si>
  <si>
    <t>Std 2.5 µg/mL</t>
  </si>
  <si>
    <t>Std 1.25 µg/mL</t>
  </si>
  <si>
    <t>Std 0.625 µg/mL</t>
  </si>
  <si>
    <t>Std 0.313 µg/mL</t>
  </si>
  <si>
    <t>Std 0.156 µg/mL</t>
  </si>
  <si>
    <t>Std 0 µg/mL</t>
  </si>
  <si>
    <t>dilution_factor</t>
  </si>
  <si>
    <t>plate_1</t>
  </si>
  <si>
    <t>turbidity_plate</t>
  </si>
  <si>
    <t>A</t>
  </si>
  <si>
    <t>B</t>
  </si>
  <si>
    <t>C</t>
  </si>
  <si>
    <t>D</t>
  </si>
  <si>
    <t>E</t>
  </si>
  <si>
    <t>F</t>
  </si>
  <si>
    <t>Bsn</t>
  </si>
  <si>
    <t>lss_concentration in µg/mL</t>
  </si>
  <si>
    <t>lss_concentration in µM</t>
  </si>
  <si>
    <t>YwaD</t>
  </si>
  <si>
    <t>YoaW</t>
  </si>
  <si>
    <t>YolA</t>
  </si>
  <si>
    <t>PhoB</t>
  </si>
  <si>
    <t>pCMEx8-NprE-Cutinase-GFP11</t>
  </si>
  <si>
    <t>pCMEx8-PhoB-Lss-Stop</t>
  </si>
  <si>
    <t>pCMEx8-YoaW-Lss-Stop</t>
  </si>
  <si>
    <t>pCMEx8-YolA-Lss-Stop</t>
  </si>
  <si>
    <t>pCMEx8-YwaD-Lss-Stop</t>
  </si>
  <si>
    <t>pCMEx8-YolA-Lss-GFP11</t>
  </si>
  <si>
    <t>pCMEx8-Bsn-DeimLss-Stop</t>
  </si>
  <si>
    <t>pCMEx8-NprE-DeimLss-Stop</t>
  </si>
  <si>
    <t>pCMEx8-YolA-DeimLss-Stop</t>
  </si>
  <si>
    <t>pCMEx8-YwaD-DeimLss-Stop</t>
  </si>
  <si>
    <t>MP7Y5R</t>
  </si>
  <si>
    <t>Std 10 µg/mL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</si>
</sst>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ont="1" applyFill="1"/>
    <xf numFmtId="0" fontId="0" fillId="0" borderId="0" xfId="0" applyFont="1"/>
    <xf numFmtId="0" fontId="5" fillId="4" borderId="2" xfId="0" applyFont="1" applyFill="1" applyBorder="1" applyAlignment="1">
      <alignment vertical="center" wrapText="1"/>
    </xf>
    <xf numFmtId="0" fontId="0" fillId="5" borderId="3" xfId="0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0" fillId="7" borderId="1" xfId="0" applyFont="1" applyFill="1" applyBorder="1" applyAlignment="1">
      <alignment vertical="center" wrapText="1"/>
    </xf>
  </cellXfs>
  <cellStyles count="1">
    <cellStyle name="Standard" xfId="0" builtinId="0"/>
  </cellStyles>
  <dxfs count="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133350</xdr:rowOff>
    </xdr:from>
    <xdr:to>
      <xdr:col>9</xdr:col>
      <xdr:colOff>1574800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429500" y="501650"/>
          <a:ext cx="4546600" cy="1250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uniquely identifies a culture</a:t>
          </a:r>
          <a:r>
            <a:rPr lang="en-US" sz="1100" baseline="0"/>
            <a:t> well.</a:t>
          </a:r>
        </a:p>
        <a:p>
          <a:r>
            <a:rPr lang="en-US" sz="1100" baseline="0"/>
            <a:t>Visit the "meta" sheet to change the run ID.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2</xdr:row>
      <xdr:rowOff>95250</xdr:rowOff>
    </xdr:from>
    <xdr:to>
      <xdr:col>10</xdr:col>
      <xdr:colOff>704850</xdr:colOff>
      <xdr:row>12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235700" y="463550"/>
          <a:ext cx="3594100" cy="177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column</a:t>
          </a:r>
          <a:r>
            <a:rPr lang="en-US" sz="1100" baseline="0"/>
            <a:t> is important to exactly match a well in the sGFP assay with the culture sample!</a:t>
          </a:r>
        </a:p>
        <a:p>
          <a:r>
            <a:rPr lang="en-US" sz="1100"/>
            <a:t>Especially when the same strain appears</a:t>
          </a:r>
          <a:r>
            <a:rPr lang="en-US" sz="1100" baseline="0"/>
            <a:t> multiple times.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1</xdr:row>
      <xdr:rowOff>57150</xdr:rowOff>
    </xdr:from>
    <xdr:to>
      <xdr:col>9</xdr:col>
      <xdr:colOff>501650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997200" y="241300"/>
          <a:ext cx="3848100" cy="151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Information about standards is kept separately,</a:t>
          </a:r>
        </a:p>
        <a:p>
          <a:r>
            <a:rPr lang="en-US" sz="1100"/>
            <a:t>because</a:t>
          </a:r>
          <a:r>
            <a:rPr lang="en-US" sz="1100" baseline="0"/>
            <a:t> new standards may be added in the future,</a:t>
          </a:r>
        </a:p>
        <a:p>
          <a:r>
            <a:rPr lang="en-US" sz="1100" baseline="0"/>
            <a:t>or standards may be left out.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sthege/Repos/lss-bandits/screenings/round_1/well_labels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"/>
      <sheetName val="biolectorlayout"/>
      <sheetName val="sGFPlayout"/>
      <sheetName val="sGFPstandards"/>
      <sheetName val="turbiditylayout"/>
      <sheetName val="turbiditystandards"/>
      <sheetName val="well_labelsR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id="4" name="Table4" displayName="Table4" ref="A1:B2" totalsRowShown="0">
  <autoFilter ref="A1:B2"/>
  <tableColumns count="2">
    <tableColumn id="1" name="key"/>
    <tableColumn id="2" name="val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49" totalsRowShown="0" headerRowDxfId="7">
  <autoFilter ref="A1:H49"/>
  <sortState ref="A2:H49">
    <sortCondition ref="A1:A49"/>
  </sortState>
  <tableColumns count="8">
    <tableColumn id="1" name="fp_well"/>
    <tableColumn id="8" name="sample_id" dataDxfId="6">
      <calculatedColumnFormula>CONCATENATE(run_id,".",Table1[[#This Row],[fp_well]])</calculatedColumnFormula>
    </tableColumn>
    <tableColumn id="2" name="medium"/>
    <tableColumn id="3" name="culture"/>
    <tableColumn id="4" name="plasmid"/>
    <tableColumn id="5" name="signal_peptide"/>
    <tableColumn id="6" name="insert"/>
    <tableColumn id="7" name="tag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D97" totalsRowShown="0" headerRowDxfId="5">
  <autoFilter ref="A1:D97"/>
  <tableColumns count="4">
    <tableColumn id="1" name="sgfp_well"/>
    <tableColumn id="2" name="content"/>
    <tableColumn id="3" name="sample_id" dataDxfId="4"/>
    <tableColumn id="4" name="sample_typ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B9" totalsRowShown="0">
  <autoFilter ref="A1:B9"/>
  <tableColumns count="2">
    <tableColumn id="1" name="sample_id"/>
    <tableColumn id="2" name="gfp_concentra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elle5" displayName="Tabelle5" ref="A1:A97" totalsRowShown="0">
  <autoFilter ref="A1:A97"/>
  <tableColumns count="1">
    <tableColumn id="1" name="turbidity_plat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8" name="Table2689" displayName="Table2689" ref="B1:F97" totalsRowShown="0" headerRowDxfId="3">
  <autoFilter ref="B1:F97"/>
  <tableColumns count="5">
    <tableColumn id="1" name="turbidity_well"/>
    <tableColumn id="2" name="content"/>
    <tableColumn id="3" name="sample_id" dataDxfId="2"/>
    <tableColumn id="4" name="sample_type"/>
    <tableColumn id="5" name="dilution_factor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abelle78" displayName="Tabelle78" ref="A1:C9" totalsRowShown="0">
  <autoFilter ref="A1:C9"/>
  <tableColumns count="3">
    <tableColumn id="1" name="sample_id" dataDxfId="1"/>
    <tableColumn id="2" name="lss_concentration in µg/mL"/>
    <tableColumn id="3" name="lss_concentration in µM" dataDxfId="0">
      <calculatedColumnFormula>Tabelle78[[#This Row],[lss_concentration in µg/mL]]/26.94426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E17" sqref="E17"/>
    </sheetView>
  </sheetViews>
  <sheetFormatPr baseColWidth="10" defaultColWidth="9.28515625" defaultRowHeight="15" x14ac:dyDescent="0.25"/>
  <sheetData>
    <row r="1" spans="1:2" x14ac:dyDescent="0.25">
      <c r="A1" t="s">
        <v>123</v>
      </c>
      <c r="B1" t="s">
        <v>124</v>
      </c>
    </row>
    <row r="2" spans="1:2" x14ac:dyDescent="0.25">
      <c r="A2" t="s">
        <v>122</v>
      </c>
      <c r="B2" t="s">
        <v>164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I46" sqref="I46"/>
    </sheetView>
  </sheetViews>
  <sheetFormatPr baseColWidth="10" defaultColWidth="10.7109375" defaultRowHeight="15" x14ac:dyDescent="0.25"/>
  <cols>
    <col min="1" max="1" width="10" bestFit="1" customWidth="1"/>
    <col min="2" max="2" width="12.42578125" bestFit="1" customWidth="1"/>
    <col min="3" max="3" width="10.7109375" bestFit="1" customWidth="1"/>
    <col min="4" max="4" width="9.5703125" bestFit="1" customWidth="1"/>
    <col min="5" max="5" width="29.5703125" bestFit="1" customWidth="1"/>
    <col min="6" max="6" width="16.42578125" bestFit="1" customWidth="1"/>
    <col min="7" max="7" width="8.7109375" bestFit="1" customWidth="1"/>
    <col min="8" max="8" width="6.42578125" bestFit="1" customWidth="1"/>
    <col min="9" max="9" width="28.42578125" bestFit="1" customWidth="1"/>
    <col min="10" max="10" width="29.5703125" bestFit="1" customWidth="1"/>
    <col min="12" max="12" width="27.7109375" bestFit="1" customWidth="1"/>
  </cols>
  <sheetData>
    <row r="1" spans="1:8" s="1" customFormat="1" x14ac:dyDescent="0.25">
      <c r="A1" s="1" t="s">
        <v>116</v>
      </c>
      <c r="B1" s="1" t="s">
        <v>121</v>
      </c>
      <c r="C1" s="1" t="s">
        <v>117</v>
      </c>
      <c r="D1" s="1" t="s">
        <v>118</v>
      </c>
      <c r="E1" s="1" t="s">
        <v>119</v>
      </c>
      <c r="F1" s="1" t="s">
        <v>112</v>
      </c>
      <c r="G1" s="1" t="s">
        <v>113</v>
      </c>
      <c r="H1" s="1" t="s">
        <v>114</v>
      </c>
    </row>
    <row r="2" spans="1:8" x14ac:dyDescent="0.25">
      <c r="A2" t="s">
        <v>0</v>
      </c>
      <c r="B2" t="str">
        <f>CONCATENATE(run_id,".",Table1[[#This Row],[fp_well]])</f>
        <v>MP7Y5R.A01</v>
      </c>
      <c r="C2" t="s">
        <v>50</v>
      </c>
      <c r="D2" t="s">
        <v>48</v>
      </c>
      <c r="E2" t="str">
        <f>biolectorplate!B2</f>
        <v>pCMEx8-PhoB-Lss-Stop</v>
      </c>
      <c r="F2" t="s">
        <v>153</v>
      </c>
      <c r="G2" t="s">
        <v>107</v>
      </c>
      <c r="H2" t="s">
        <v>115</v>
      </c>
    </row>
    <row r="3" spans="1:8" x14ac:dyDescent="0.25">
      <c r="A3" t="s">
        <v>1</v>
      </c>
      <c r="B3" t="str">
        <f>CONCATENATE(run_id,".",Table1[[#This Row],[fp_well]])</f>
        <v>MP7Y5R.A02</v>
      </c>
      <c r="C3" t="s">
        <v>50</v>
      </c>
      <c r="D3" t="s">
        <v>49</v>
      </c>
      <c r="E3" t="str">
        <f>biolectorplate!C2</f>
        <v>pCMEx8-PhoB-Lss-Stop</v>
      </c>
      <c r="F3" t="s">
        <v>153</v>
      </c>
      <c r="G3" t="s">
        <v>107</v>
      </c>
      <c r="H3" t="s">
        <v>115</v>
      </c>
    </row>
    <row r="4" spans="1:8" x14ac:dyDescent="0.25">
      <c r="A4" t="s">
        <v>2</v>
      </c>
      <c r="B4" t="str">
        <f>CONCATENATE(run_id,".",Table1[[#This Row],[fp_well]])</f>
        <v>MP7Y5R.A03</v>
      </c>
      <c r="C4" t="s">
        <v>50</v>
      </c>
      <c r="D4" t="s">
        <v>48</v>
      </c>
      <c r="E4" t="str">
        <f>biolectorplate!D2</f>
        <v>pCMEx8-YolA-Lss-Stop</v>
      </c>
      <c r="F4" t="s">
        <v>152</v>
      </c>
      <c r="G4" t="s">
        <v>107</v>
      </c>
      <c r="H4" t="s">
        <v>115</v>
      </c>
    </row>
    <row r="5" spans="1:8" x14ac:dyDescent="0.25">
      <c r="A5" t="s">
        <v>3</v>
      </c>
      <c r="B5" t="str">
        <f>CONCATENATE(run_id,".",Table1[[#This Row],[fp_well]])</f>
        <v>MP7Y5R.A04</v>
      </c>
      <c r="C5" t="s">
        <v>50</v>
      </c>
      <c r="D5" t="s">
        <v>49</v>
      </c>
      <c r="E5" t="str">
        <f>biolectorplate!E2</f>
        <v>pCMEx8-YolA-Lss-Stop</v>
      </c>
      <c r="F5" t="s">
        <v>152</v>
      </c>
      <c r="G5" t="s">
        <v>107</v>
      </c>
      <c r="H5" t="s">
        <v>115</v>
      </c>
    </row>
    <row r="6" spans="1:8" x14ac:dyDescent="0.25">
      <c r="A6" t="s">
        <v>4</v>
      </c>
      <c r="B6" t="str">
        <f>CONCATENATE(run_id,".",Table1[[#This Row],[fp_well]])</f>
        <v>MP7Y5R.A05</v>
      </c>
      <c r="C6" t="s">
        <v>50</v>
      </c>
      <c r="D6" t="s">
        <v>49</v>
      </c>
      <c r="E6" t="str">
        <f>biolectorplate!F2</f>
        <v>pCMEx8-NprE-DeimLss-Stop</v>
      </c>
      <c r="F6" t="s">
        <v>110</v>
      </c>
      <c r="G6" t="s">
        <v>109</v>
      </c>
      <c r="H6" t="s">
        <v>115</v>
      </c>
    </row>
    <row r="7" spans="1:8" x14ac:dyDescent="0.25">
      <c r="A7" t="s">
        <v>5</v>
      </c>
      <c r="B7" t="str">
        <f>CONCATENATE(run_id,".",Table1[[#This Row],[fp_well]])</f>
        <v>MP7Y5R.A06</v>
      </c>
      <c r="C7" t="s">
        <v>50</v>
      </c>
      <c r="D7" t="s">
        <v>48</v>
      </c>
      <c r="E7" t="str">
        <f>biolectorplate!G2</f>
        <v>pCMEx8-NprE-DeimLss-Stop</v>
      </c>
      <c r="F7" t="s">
        <v>110</v>
      </c>
      <c r="G7" t="s">
        <v>109</v>
      </c>
      <c r="H7" t="s">
        <v>115</v>
      </c>
    </row>
    <row r="8" spans="1:8" x14ac:dyDescent="0.25">
      <c r="A8" t="s">
        <v>6</v>
      </c>
      <c r="B8" t="str">
        <f>CONCATENATE(run_id,".",Table1[[#This Row],[fp_well]])</f>
        <v>MP7Y5R.A07</v>
      </c>
      <c r="C8" t="s">
        <v>50</v>
      </c>
      <c r="D8" t="s">
        <v>49</v>
      </c>
      <c r="E8" t="str">
        <f>biolectorplate!H2</f>
        <v>pCMEx8-YolA-DeimLss-Stop</v>
      </c>
      <c r="F8" t="s">
        <v>152</v>
      </c>
      <c r="G8" t="s">
        <v>109</v>
      </c>
      <c r="H8" t="s">
        <v>115</v>
      </c>
    </row>
    <row r="9" spans="1:8" x14ac:dyDescent="0.25">
      <c r="A9" t="s">
        <v>7</v>
      </c>
      <c r="B9" t="str">
        <f>CONCATENATE(run_id,".",Table1[[#This Row],[fp_well]])</f>
        <v>MP7Y5R.A08</v>
      </c>
      <c r="C9" t="s">
        <v>50</v>
      </c>
      <c r="D9" t="s">
        <v>48</v>
      </c>
      <c r="E9" t="str">
        <f>biolectorplate!I2</f>
        <v>pCMEx8-YolA-DeimLss-Stop</v>
      </c>
      <c r="F9" t="s">
        <v>152</v>
      </c>
      <c r="G9" t="s">
        <v>109</v>
      </c>
      <c r="H9" t="s">
        <v>115</v>
      </c>
    </row>
    <row r="10" spans="1:8" x14ac:dyDescent="0.25">
      <c r="A10" t="s">
        <v>8</v>
      </c>
      <c r="B10" t="str">
        <f>CONCATENATE(run_id,".",Table1[[#This Row],[fp_well]])</f>
        <v>MP7Y5R.B01</v>
      </c>
      <c r="C10" t="s">
        <v>50</v>
      </c>
      <c r="D10" t="s">
        <v>48</v>
      </c>
      <c r="E10" t="str">
        <f>biolectorplate!B3</f>
        <v>pCMEx8-PhoB-Lss-Stop</v>
      </c>
      <c r="F10" t="s">
        <v>153</v>
      </c>
      <c r="G10" t="s">
        <v>107</v>
      </c>
      <c r="H10" t="s">
        <v>115</v>
      </c>
    </row>
    <row r="11" spans="1:8" x14ac:dyDescent="0.25">
      <c r="A11" t="s">
        <v>9</v>
      </c>
      <c r="B11" t="str">
        <f>CONCATENATE(run_id,".",Table1[[#This Row],[fp_well]])</f>
        <v>MP7Y5R.B02</v>
      </c>
      <c r="C11" t="s">
        <v>50</v>
      </c>
      <c r="D11" t="s">
        <v>49</v>
      </c>
      <c r="E11" t="str">
        <f>biolectorplate!C3</f>
        <v>pCMEx8-PhoB-Lss-Stop</v>
      </c>
      <c r="F11" t="s">
        <v>153</v>
      </c>
      <c r="G11" t="s">
        <v>107</v>
      </c>
      <c r="H11" t="s">
        <v>115</v>
      </c>
    </row>
    <row r="12" spans="1:8" x14ac:dyDescent="0.25">
      <c r="A12" t="s">
        <v>10</v>
      </c>
      <c r="B12" t="str">
        <f>CONCATENATE(run_id,".",Table1[[#This Row],[fp_well]])</f>
        <v>MP7Y5R.B03</v>
      </c>
      <c r="C12" t="s">
        <v>50</v>
      </c>
      <c r="D12" t="s">
        <v>48</v>
      </c>
      <c r="E12" t="str">
        <f>biolectorplate!D3</f>
        <v>pCMEx8-YolA-Lss-Stop</v>
      </c>
      <c r="F12" t="s">
        <v>152</v>
      </c>
      <c r="G12" t="s">
        <v>107</v>
      </c>
      <c r="H12" t="s">
        <v>115</v>
      </c>
    </row>
    <row r="13" spans="1:8" x14ac:dyDescent="0.25">
      <c r="A13" t="s">
        <v>11</v>
      </c>
      <c r="B13" t="str">
        <f>CONCATENATE(run_id,".",Table1[[#This Row],[fp_well]])</f>
        <v>MP7Y5R.B04</v>
      </c>
      <c r="C13" t="s">
        <v>50</v>
      </c>
      <c r="D13" t="s">
        <v>49</v>
      </c>
      <c r="E13" t="str">
        <f>biolectorplate!E3</f>
        <v>pCMEx8-YolA-Lss-Stop</v>
      </c>
      <c r="F13" t="s">
        <v>152</v>
      </c>
      <c r="G13" t="s">
        <v>107</v>
      </c>
      <c r="H13" t="s">
        <v>115</v>
      </c>
    </row>
    <row r="14" spans="1:8" x14ac:dyDescent="0.25">
      <c r="A14" t="s">
        <v>12</v>
      </c>
      <c r="B14" t="str">
        <f>CONCATENATE(run_id,".",Table1[[#This Row],[fp_well]])</f>
        <v>MP7Y5R.B05</v>
      </c>
      <c r="C14" t="s">
        <v>50</v>
      </c>
      <c r="D14" t="s">
        <v>49</v>
      </c>
      <c r="E14" t="str">
        <f>biolectorplate!F3</f>
        <v>pCMEx8-NprE-DeimLss-Stop</v>
      </c>
      <c r="F14" t="s">
        <v>110</v>
      </c>
      <c r="G14" t="s">
        <v>109</v>
      </c>
      <c r="H14" t="s">
        <v>115</v>
      </c>
    </row>
    <row r="15" spans="1:8" x14ac:dyDescent="0.25">
      <c r="A15" t="s">
        <v>13</v>
      </c>
      <c r="B15" t="str">
        <f>CONCATENATE(run_id,".",Table1[[#This Row],[fp_well]])</f>
        <v>MP7Y5R.B06</v>
      </c>
      <c r="C15" t="s">
        <v>50</v>
      </c>
      <c r="D15" t="s">
        <v>48</v>
      </c>
      <c r="E15" t="str">
        <f>biolectorplate!G3</f>
        <v>pCMEx8-NprE-DeimLss-Stop</v>
      </c>
      <c r="F15" t="s">
        <v>110</v>
      </c>
      <c r="G15" t="s">
        <v>109</v>
      </c>
      <c r="H15" t="s">
        <v>115</v>
      </c>
    </row>
    <row r="16" spans="1:8" x14ac:dyDescent="0.25">
      <c r="A16" t="s">
        <v>14</v>
      </c>
      <c r="B16" t="str">
        <f>CONCATENATE(run_id,".",Table1[[#This Row],[fp_well]])</f>
        <v>MP7Y5R.B07</v>
      </c>
      <c r="C16" t="s">
        <v>50</v>
      </c>
      <c r="D16" t="s">
        <v>49</v>
      </c>
      <c r="E16" t="str">
        <f>biolectorplate!H3</f>
        <v>pCMEx8-YwaD-DeimLss-Stop</v>
      </c>
      <c r="F16" t="s">
        <v>150</v>
      </c>
      <c r="G16" t="s">
        <v>109</v>
      </c>
      <c r="H16" t="s">
        <v>115</v>
      </c>
    </row>
    <row r="17" spans="1:8" x14ac:dyDescent="0.25">
      <c r="A17" t="s">
        <v>15</v>
      </c>
      <c r="B17" t="str">
        <f>CONCATENATE(run_id,".",Table1[[#This Row],[fp_well]])</f>
        <v>MP7Y5R.B08</v>
      </c>
      <c r="C17" t="s">
        <v>50</v>
      </c>
      <c r="D17" t="s">
        <v>48</v>
      </c>
      <c r="E17" t="str">
        <f>biolectorplate!I3</f>
        <v>pCMEx8-YwaD-DeimLss-Stop</v>
      </c>
      <c r="F17" t="s">
        <v>150</v>
      </c>
      <c r="G17" t="s">
        <v>109</v>
      </c>
      <c r="H17" t="s">
        <v>115</v>
      </c>
    </row>
    <row r="18" spans="1:8" x14ac:dyDescent="0.25">
      <c r="A18" t="s">
        <v>16</v>
      </c>
      <c r="B18" t="str">
        <f>CONCATENATE(run_id,".",Table1[[#This Row],[fp_well]])</f>
        <v>MP7Y5R.C01</v>
      </c>
      <c r="C18" t="s">
        <v>50</v>
      </c>
      <c r="D18" t="s">
        <v>48</v>
      </c>
      <c r="E18" t="str">
        <f>biolectorplate!B4</f>
        <v>pCMEx8-YoaW-Lss-Stop</v>
      </c>
      <c r="F18" t="s">
        <v>151</v>
      </c>
      <c r="G18" t="s">
        <v>107</v>
      </c>
      <c r="H18" t="s">
        <v>115</v>
      </c>
    </row>
    <row r="19" spans="1:8" x14ac:dyDescent="0.25">
      <c r="A19" t="s">
        <v>17</v>
      </c>
      <c r="B19" t="str">
        <f>CONCATENATE(run_id,".",Table1[[#This Row],[fp_well]])</f>
        <v>MP7Y5R.C02</v>
      </c>
      <c r="C19" t="s">
        <v>50</v>
      </c>
      <c r="D19" t="s">
        <v>49</v>
      </c>
      <c r="E19" t="str">
        <f>biolectorplate!C4</f>
        <v>pCMEx8-YoaW-Lss-Stop</v>
      </c>
      <c r="F19" t="s">
        <v>151</v>
      </c>
      <c r="G19" t="s">
        <v>107</v>
      </c>
      <c r="H19" t="s">
        <v>115</v>
      </c>
    </row>
    <row r="20" spans="1:8" x14ac:dyDescent="0.25">
      <c r="A20" t="s">
        <v>18</v>
      </c>
      <c r="B20" t="str">
        <f>CONCATENATE(run_id,".",Table1[[#This Row],[fp_well]])</f>
        <v>MP7Y5R.C03</v>
      </c>
      <c r="C20" t="s">
        <v>50</v>
      </c>
      <c r="D20" t="s">
        <v>48</v>
      </c>
      <c r="E20" t="str">
        <f>biolectorplate!D4</f>
        <v>pCMEx8-YwaD-Lss-Stop</v>
      </c>
      <c r="F20" t="s">
        <v>150</v>
      </c>
      <c r="G20" t="s">
        <v>107</v>
      </c>
      <c r="H20" t="s">
        <v>115</v>
      </c>
    </row>
    <row r="21" spans="1:8" x14ac:dyDescent="0.25">
      <c r="A21" t="s">
        <v>19</v>
      </c>
      <c r="B21" t="str">
        <f>CONCATENATE(run_id,".",Table1[[#This Row],[fp_well]])</f>
        <v>MP7Y5R.C04</v>
      </c>
      <c r="C21" t="s">
        <v>50</v>
      </c>
      <c r="D21" t="s">
        <v>49</v>
      </c>
      <c r="E21" t="str">
        <f>biolectorplate!E4</f>
        <v>pCMEx8-YwaD-Lss-Stop</v>
      </c>
      <c r="F21" t="s">
        <v>150</v>
      </c>
      <c r="G21" t="s">
        <v>107</v>
      </c>
      <c r="H21" t="s">
        <v>115</v>
      </c>
    </row>
    <row r="22" spans="1:8" x14ac:dyDescent="0.25">
      <c r="A22" t="s">
        <v>20</v>
      </c>
      <c r="B22" t="str">
        <f>CONCATENATE(run_id,".",Table1[[#This Row],[fp_well]])</f>
        <v>MP7Y5R.C05</v>
      </c>
      <c r="C22" t="s">
        <v>50</v>
      </c>
      <c r="D22" t="s">
        <v>49</v>
      </c>
      <c r="E22" t="str">
        <f>biolectorplate!F4</f>
        <v>pCMEx8-NprE-DeimLss-Stop</v>
      </c>
      <c r="F22" t="s">
        <v>110</v>
      </c>
      <c r="G22" t="s">
        <v>109</v>
      </c>
      <c r="H22" t="s">
        <v>115</v>
      </c>
    </row>
    <row r="23" spans="1:8" x14ac:dyDescent="0.25">
      <c r="A23" t="s">
        <v>21</v>
      </c>
      <c r="B23" t="str">
        <f>CONCATENATE(run_id,".",Table1[[#This Row],[fp_well]])</f>
        <v>MP7Y5R.C06</v>
      </c>
      <c r="C23" t="s">
        <v>50</v>
      </c>
      <c r="D23" t="s">
        <v>48</v>
      </c>
      <c r="E23" t="str">
        <f>biolectorplate!G4</f>
        <v>pCMEx8-NprE-DeimLss-Stop</v>
      </c>
      <c r="F23" t="s">
        <v>110</v>
      </c>
      <c r="G23" t="s">
        <v>109</v>
      </c>
      <c r="H23" t="s">
        <v>115</v>
      </c>
    </row>
    <row r="24" spans="1:8" x14ac:dyDescent="0.25">
      <c r="A24" t="s">
        <v>22</v>
      </c>
      <c r="B24" t="str">
        <f>CONCATENATE(run_id,".",Table1[[#This Row],[fp_well]])</f>
        <v>MP7Y5R.C07</v>
      </c>
      <c r="C24" t="s">
        <v>50</v>
      </c>
      <c r="D24" t="s">
        <v>49</v>
      </c>
      <c r="E24" t="str">
        <f>biolectorplate!H4</f>
        <v>pCMEx8-YwaD-DeimLss-Stop</v>
      </c>
      <c r="F24" t="s">
        <v>150</v>
      </c>
      <c r="G24" t="s">
        <v>109</v>
      </c>
      <c r="H24" t="s">
        <v>115</v>
      </c>
    </row>
    <row r="25" spans="1:8" x14ac:dyDescent="0.25">
      <c r="A25" t="s">
        <v>23</v>
      </c>
      <c r="B25" t="str">
        <f>CONCATENATE(run_id,".",Table1[[#This Row],[fp_well]])</f>
        <v>MP7Y5R.C08</v>
      </c>
      <c r="C25" t="s">
        <v>50</v>
      </c>
      <c r="D25" t="s">
        <v>48</v>
      </c>
      <c r="E25" t="str">
        <f>biolectorplate!I4</f>
        <v>pCMEx8-YwaD-DeimLss-Stop</v>
      </c>
      <c r="F25" t="s">
        <v>150</v>
      </c>
      <c r="G25" t="s">
        <v>109</v>
      </c>
      <c r="H25" t="s">
        <v>115</v>
      </c>
    </row>
    <row r="26" spans="1:8" x14ac:dyDescent="0.25">
      <c r="A26" t="s">
        <v>24</v>
      </c>
      <c r="B26" t="str">
        <f>CONCATENATE(run_id,".",Table1[[#This Row],[fp_well]])</f>
        <v>MP7Y5R.D01</v>
      </c>
      <c r="C26" t="s">
        <v>50</v>
      </c>
      <c r="D26" t="s">
        <v>48</v>
      </c>
      <c r="E26" t="str">
        <f>biolectorplate!B5</f>
        <v>pCMEx8-YoaW-Lss-Stop</v>
      </c>
      <c r="F26" t="s">
        <v>151</v>
      </c>
      <c r="G26" t="s">
        <v>107</v>
      </c>
      <c r="H26" t="s">
        <v>115</v>
      </c>
    </row>
    <row r="27" spans="1:8" x14ac:dyDescent="0.25">
      <c r="A27" t="s">
        <v>25</v>
      </c>
      <c r="B27" t="str">
        <f>CONCATENATE(run_id,".",Table1[[#This Row],[fp_well]])</f>
        <v>MP7Y5R.D02</v>
      </c>
      <c r="C27" t="s">
        <v>50</v>
      </c>
      <c r="D27" t="s">
        <v>49</v>
      </c>
      <c r="E27" t="str">
        <f>biolectorplate!C5</f>
        <v>pCMEx8-YoaW-Lss-Stop</v>
      </c>
      <c r="F27" t="s">
        <v>151</v>
      </c>
      <c r="G27" t="s">
        <v>107</v>
      </c>
      <c r="H27" t="s">
        <v>115</v>
      </c>
    </row>
    <row r="28" spans="1:8" x14ac:dyDescent="0.25">
      <c r="A28" t="s">
        <v>26</v>
      </c>
      <c r="B28" t="str">
        <f>CONCATENATE(run_id,".",Table1[[#This Row],[fp_well]])</f>
        <v>MP7Y5R.D03</v>
      </c>
      <c r="C28" t="s">
        <v>50</v>
      </c>
      <c r="D28" t="s">
        <v>48</v>
      </c>
      <c r="E28" t="str">
        <f>biolectorplate!D5</f>
        <v>pCMEx8-YwaD-Lss-Stop</v>
      </c>
      <c r="F28" t="s">
        <v>150</v>
      </c>
      <c r="G28" t="s">
        <v>107</v>
      </c>
      <c r="H28" t="s">
        <v>115</v>
      </c>
    </row>
    <row r="29" spans="1:8" x14ac:dyDescent="0.25">
      <c r="A29" t="s">
        <v>27</v>
      </c>
      <c r="B29" t="str">
        <f>CONCATENATE(run_id,".",Table1[[#This Row],[fp_well]])</f>
        <v>MP7Y5R.D04</v>
      </c>
      <c r="C29" t="s">
        <v>50</v>
      </c>
      <c r="D29" t="s">
        <v>49</v>
      </c>
      <c r="E29" t="str">
        <f>biolectorplate!E5</f>
        <v>pCMEx8-YwaD-Lss-Stop</v>
      </c>
      <c r="F29" t="s">
        <v>150</v>
      </c>
      <c r="G29" t="s">
        <v>107</v>
      </c>
      <c r="H29" t="s">
        <v>115</v>
      </c>
    </row>
    <row r="30" spans="1:8" x14ac:dyDescent="0.25">
      <c r="A30" t="s">
        <v>28</v>
      </c>
      <c r="B30" t="str">
        <f>CONCATENATE(run_id,".",Table1[[#This Row],[fp_well]])</f>
        <v>MP7Y5R.D05</v>
      </c>
      <c r="C30" t="s">
        <v>50</v>
      </c>
      <c r="D30" t="s">
        <v>49</v>
      </c>
      <c r="E30" t="str">
        <f>biolectorplate!F5</f>
        <v>pCMEx8-NprE-DeimLss-Stop</v>
      </c>
      <c r="F30" t="s">
        <v>110</v>
      </c>
      <c r="G30" t="s">
        <v>109</v>
      </c>
      <c r="H30" t="s">
        <v>115</v>
      </c>
    </row>
    <row r="31" spans="1:8" x14ac:dyDescent="0.25">
      <c r="A31" t="s">
        <v>29</v>
      </c>
      <c r="B31" t="str">
        <f>CONCATENATE(run_id,".",Table1[[#This Row],[fp_well]])</f>
        <v>MP7Y5R.D06</v>
      </c>
      <c r="C31" t="s">
        <v>50</v>
      </c>
      <c r="D31" t="s">
        <v>48</v>
      </c>
      <c r="E31" t="str">
        <f>biolectorplate!G5</f>
        <v>pCMEx8-NprE-DeimLss-Stop</v>
      </c>
      <c r="F31" t="s">
        <v>110</v>
      </c>
      <c r="G31" t="s">
        <v>109</v>
      </c>
      <c r="H31" t="s">
        <v>115</v>
      </c>
    </row>
    <row r="32" spans="1:8" x14ac:dyDescent="0.25">
      <c r="A32" t="s">
        <v>30</v>
      </c>
      <c r="B32" t="str">
        <f>CONCATENATE(run_id,".",Table1[[#This Row],[fp_well]])</f>
        <v>MP7Y5R.D07</v>
      </c>
      <c r="C32" t="s">
        <v>50</v>
      </c>
      <c r="D32" t="s">
        <v>49</v>
      </c>
      <c r="E32" t="str">
        <f>biolectorplate!H5</f>
        <v>pCMEx8-YwaD-DeimLss-Stop</v>
      </c>
      <c r="F32" t="s">
        <v>150</v>
      </c>
      <c r="G32" t="s">
        <v>109</v>
      </c>
      <c r="H32" t="s">
        <v>115</v>
      </c>
    </row>
    <row r="33" spans="1:8" x14ac:dyDescent="0.25">
      <c r="A33" t="s">
        <v>31</v>
      </c>
      <c r="B33" t="str">
        <f>CONCATENATE(run_id,".",Table1[[#This Row],[fp_well]])</f>
        <v>MP7Y5R.D08</v>
      </c>
      <c r="C33" t="s">
        <v>50</v>
      </c>
      <c r="D33" t="s">
        <v>48</v>
      </c>
      <c r="E33" t="str">
        <f>biolectorplate!I5</f>
        <v>pCMEx8-YwaD-DeimLss-Stop</v>
      </c>
      <c r="F33" t="s">
        <v>150</v>
      </c>
      <c r="G33" t="s">
        <v>109</v>
      </c>
      <c r="H33" t="s">
        <v>115</v>
      </c>
    </row>
    <row r="34" spans="1:8" x14ac:dyDescent="0.25">
      <c r="A34" t="s">
        <v>32</v>
      </c>
      <c r="B34" t="str">
        <f>CONCATENATE(run_id,".",Table1[[#This Row],[fp_well]])</f>
        <v>MP7Y5R.E01</v>
      </c>
      <c r="C34" t="s">
        <v>50</v>
      </c>
      <c r="D34" t="s">
        <v>48</v>
      </c>
      <c r="E34" t="str">
        <f>biolectorplate!B6</f>
        <v>pCMEx8-YolA-Lss-Stop</v>
      </c>
      <c r="F34" t="s">
        <v>152</v>
      </c>
      <c r="G34" t="s">
        <v>107</v>
      </c>
      <c r="H34" t="s">
        <v>115</v>
      </c>
    </row>
    <row r="35" spans="1:8" x14ac:dyDescent="0.25">
      <c r="A35" t="s">
        <v>33</v>
      </c>
      <c r="B35" t="str">
        <f>CONCATENATE(run_id,".",Table1[[#This Row],[fp_well]])</f>
        <v>MP7Y5R.E02</v>
      </c>
      <c r="C35" t="s">
        <v>50</v>
      </c>
      <c r="D35" t="s">
        <v>49</v>
      </c>
      <c r="E35" t="str">
        <f>biolectorplate!C6</f>
        <v>pCMEx8-YolA-Lss-Stop</v>
      </c>
      <c r="F35" t="s">
        <v>152</v>
      </c>
      <c r="G35" t="s">
        <v>107</v>
      </c>
      <c r="H35" t="s">
        <v>115</v>
      </c>
    </row>
    <row r="36" spans="1:8" x14ac:dyDescent="0.25">
      <c r="A36" t="s">
        <v>34</v>
      </c>
      <c r="B36" t="str">
        <f>CONCATENATE(run_id,".",Table1[[#This Row],[fp_well]])</f>
        <v>MP7Y5R.E03</v>
      </c>
      <c r="C36" t="s">
        <v>50</v>
      </c>
      <c r="D36" t="s">
        <v>48</v>
      </c>
      <c r="E36" t="str">
        <f>biolectorplate!D6</f>
        <v>pCMEx8-YolA-Lss-GFP11</v>
      </c>
      <c r="F36" t="s">
        <v>152</v>
      </c>
      <c r="G36" t="s">
        <v>107</v>
      </c>
      <c r="H36" t="s">
        <v>108</v>
      </c>
    </row>
    <row r="37" spans="1:8" x14ac:dyDescent="0.25">
      <c r="A37" t="s">
        <v>35</v>
      </c>
      <c r="B37" t="str">
        <f>CONCATENATE(run_id,".",Table1[[#This Row],[fp_well]])</f>
        <v>MP7Y5R.E04</v>
      </c>
      <c r="C37" t="s">
        <v>50</v>
      </c>
      <c r="D37" t="s">
        <v>49</v>
      </c>
      <c r="E37" t="str">
        <f>biolectorplate!E6</f>
        <v>pCMEx8-YolA-Lss-GFP11</v>
      </c>
      <c r="F37" t="s">
        <v>152</v>
      </c>
      <c r="G37" t="s">
        <v>107</v>
      </c>
      <c r="H37" t="s">
        <v>108</v>
      </c>
    </row>
    <row r="38" spans="1:8" x14ac:dyDescent="0.25">
      <c r="A38" t="s">
        <v>36</v>
      </c>
      <c r="B38" t="str">
        <f>CONCATENATE(run_id,".",Table1[[#This Row],[fp_well]])</f>
        <v>MP7Y5R.E05</v>
      </c>
      <c r="C38" t="s">
        <v>50</v>
      </c>
      <c r="D38" t="s">
        <v>49</v>
      </c>
      <c r="E38" t="str">
        <f>biolectorplate!F6</f>
        <v>pCMEx8-YolA-DeimLss-Stop</v>
      </c>
      <c r="F38" t="s">
        <v>152</v>
      </c>
      <c r="G38" t="s">
        <v>109</v>
      </c>
      <c r="H38" t="s">
        <v>115</v>
      </c>
    </row>
    <row r="39" spans="1:8" x14ac:dyDescent="0.25">
      <c r="A39" t="s">
        <v>37</v>
      </c>
      <c r="B39" t="str">
        <f>CONCATENATE(run_id,".",Table1[[#This Row],[fp_well]])</f>
        <v>MP7Y5R.E06</v>
      </c>
      <c r="C39" t="s">
        <v>50</v>
      </c>
      <c r="D39" t="s">
        <v>48</v>
      </c>
      <c r="E39" t="str">
        <f>biolectorplate!G6</f>
        <v>pCMEx8-YolA-DeimLss-Stop</v>
      </c>
      <c r="F39" t="s">
        <v>152</v>
      </c>
      <c r="G39" t="s">
        <v>109</v>
      </c>
      <c r="H39" t="s">
        <v>115</v>
      </c>
    </row>
    <row r="40" spans="1:8" x14ac:dyDescent="0.25">
      <c r="A40" t="s">
        <v>38</v>
      </c>
      <c r="B40" t="str">
        <f>CONCATENATE(run_id,".",Table1[[#This Row],[fp_well]])</f>
        <v>MP7Y5R.E07</v>
      </c>
      <c r="C40" t="s">
        <v>50</v>
      </c>
      <c r="D40" t="s">
        <v>49</v>
      </c>
      <c r="E40" t="str">
        <f>biolectorplate!H6</f>
        <v>pCMEx8-YwaD-DeimLss-Stop</v>
      </c>
      <c r="F40" t="s">
        <v>150</v>
      </c>
      <c r="G40" t="s">
        <v>109</v>
      </c>
      <c r="H40" t="s">
        <v>115</v>
      </c>
    </row>
    <row r="41" spans="1:8" x14ac:dyDescent="0.25">
      <c r="A41" t="s">
        <v>39</v>
      </c>
      <c r="B41" t="str">
        <f>CONCATENATE(run_id,".",Table1[[#This Row],[fp_well]])</f>
        <v>MP7Y5R.E08</v>
      </c>
      <c r="C41" t="s">
        <v>50</v>
      </c>
      <c r="D41" t="s">
        <v>48</v>
      </c>
      <c r="E41" t="str">
        <f>biolectorplate!I6</f>
        <v>pCMEx8-YwaD-DeimLss-Stop</v>
      </c>
      <c r="F41" t="s">
        <v>150</v>
      </c>
      <c r="G41" t="s">
        <v>109</v>
      </c>
      <c r="H41" t="s">
        <v>115</v>
      </c>
    </row>
    <row r="42" spans="1:8" x14ac:dyDescent="0.25">
      <c r="A42" t="s">
        <v>40</v>
      </c>
      <c r="B42" t="str">
        <f>CONCATENATE(run_id,".",Table1[[#This Row],[fp_well]])</f>
        <v>MP7Y5R.F01</v>
      </c>
      <c r="C42" t="s">
        <v>50</v>
      </c>
      <c r="D42" t="s">
        <v>48</v>
      </c>
      <c r="E42" t="str">
        <f>biolectorplate!B7</f>
        <v>pCMEx8-YolA-Lss-Stop</v>
      </c>
      <c r="F42" t="s">
        <v>152</v>
      </c>
      <c r="G42" t="s">
        <v>107</v>
      </c>
      <c r="H42" t="s">
        <v>115</v>
      </c>
    </row>
    <row r="43" spans="1:8" x14ac:dyDescent="0.25">
      <c r="A43" t="s">
        <v>41</v>
      </c>
      <c r="B43" t="str">
        <f>CONCATENATE(run_id,".",Table1[[#This Row],[fp_well]])</f>
        <v>MP7Y5R.F02</v>
      </c>
      <c r="C43" t="s">
        <v>50</v>
      </c>
      <c r="D43" t="s">
        <v>49</v>
      </c>
      <c r="E43" t="str">
        <f>biolectorplate!C7</f>
        <v>pCMEx8-YolA-Lss-Stop</v>
      </c>
      <c r="F43" t="s">
        <v>152</v>
      </c>
      <c r="G43" t="s">
        <v>107</v>
      </c>
      <c r="H43" t="s">
        <v>115</v>
      </c>
    </row>
    <row r="44" spans="1:8" x14ac:dyDescent="0.25">
      <c r="A44" t="s">
        <v>42</v>
      </c>
      <c r="B44" t="str">
        <f>CONCATENATE(run_id,".",Table1[[#This Row],[fp_well]])</f>
        <v>MP7Y5R.F03</v>
      </c>
      <c r="C44" t="s">
        <v>50</v>
      </c>
      <c r="D44" t="s">
        <v>48</v>
      </c>
      <c r="E44" t="str">
        <f>biolectorplate!D7</f>
        <v>pCMEx8-Bsn-DeimLss-Stop</v>
      </c>
      <c r="F44" t="s">
        <v>147</v>
      </c>
      <c r="G44" t="s">
        <v>109</v>
      </c>
      <c r="H44" t="s">
        <v>115</v>
      </c>
    </row>
    <row r="45" spans="1:8" x14ac:dyDescent="0.25">
      <c r="A45" t="s">
        <v>43</v>
      </c>
      <c r="B45" t="str">
        <f>CONCATENATE(run_id,".",Table1[[#This Row],[fp_well]])</f>
        <v>MP7Y5R.F04</v>
      </c>
      <c r="C45" t="s">
        <v>50</v>
      </c>
      <c r="D45" t="s">
        <v>49</v>
      </c>
      <c r="E45" t="str">
        <f>biolectorplate!E7</f>
        <v>pCMEx8-Bsn-DeimLss-Stop</v>
      </c>
      <c r="F45" t="s">
        <v>147</v>
      </c>
      <c r="G45" t="s">
        <v>109</v>
      </c>
      <c r="H45" t="s">
        <v>115</v>
      </c>
    </row>
    <row r="46" spans="1:8" x14ac:dyDescent="0.25">
      <c r="A46" t="s">
        <v>44</v>
      </c>
      <c r="B46" t="str">
        <f>CONCATENATE(run_id,".",Table1[[#This Row],[fp_well]])</f>
        <v>MP7Y5R.F05</v>
      </c>
      <c r="C46" t="s">
        <v>50</v>
      </c>
      <c r="D46" t="s">
        <v>49</v>
      </c>
      <c r="E46" t="str">
        <f>biolectorplate!F7</f>
        <v>pCMEx8-YolA-DeimLss-Stop</v>
      </c>
      <c r="F46" t="s">
        <v>152</v>
      </c>
      <c r="G46" t="s">
        <v>109</v>
      </c>
      <c r="H46" t="s">
        <v>115</v>
      </c>
    </row>
    <row r="47" spans="1:8" x14ac:dyDescent="0.25">
      <c r="A47" t="s">
        <v>45</v>
      </c>
      <c r="B47" t="str">
        <f>CONCATENATE(run_id,".",Table1[[#This Row],[fp_well]])</f>
        <v>MP7Y5R.F06</v>
      </c>
      <c r="C47" t="s">
        <v>50</v>
      </c>
      <c r="D47" t="s">
        <v>48</v>
      </c>
      <c r="E47" t="str">
        <f>biolectorplate!G7</f>
        <v>pCMEx8-YolA-DeimLss-Stop</v>
      </c>
      <c r="F47" t="s">
        <v>152</v>
      </c>
      <c r="G47" t="s">
        <v>109</v>
      </c>
      <c r="H47" t="s">
        <v>115</v>
      </c>
    </row>
    <row r="48" spans="1:8" x14ac:dyDescent="0.25">
      <c r="A48" t="s">
        <v>46</v>
      </c>
      <c r="B48" t="str">
        <f>CONCATENATE(run_id,".",Table1[[#This Row],[fp_well]])</f>
        <v>MP7Y5R.F07</v>
      </c>
      <c r="C48" t="s">
        <v>50</v>
      </c>
      <c r="D48" t="s">
        <v>49</v>
      </c>
      <c r="E48" t="str">
        <f>biolectorplate!H7</f>
        <v>pCMEx8-NprE-Cutinase-GFP11</v>
      </c>
      <c r="F48" t="s">
        <v>110</v>
      </c>
      <c r="G48" t="s">
        <v>111</v>
      </c>
      <c r="H48" t="s">
        <v>108</v>
      </c>
    </row>
    <row r="49" spans="1:8" x14ac:dyDescent="0.25">
      <c r="A49" t="s">
        <v>47</v>
      </c>
      <c r="B49" t="str">
        <f>CONCATENATE(run_id,".",Table1[[#This Row],[fp_well]])</f>
        <v>MP7Y5R.F08</v>
      </c>
      <c r="C49" t="s">
        <v>50</v>
      </c>
      <c r="D49" t="s">
        <v>48</v>
      </c>
      <c r="E49" t="str">
        <f>biolectorplate!I7</f>
        <v>pCMEx8-NprE-Cutinase-GFP11</v>
      </c>
      <c r="F49" t="s">
        <v>110</v>
      </c>
      <c r="G49" t="s">
        <v>111</v>
      </c>
      <c r="H49" t="s">
        <v>108</v>
      </c>
    </row>
  </sheetData>
  <phoneticPr fontId="1" type="noConversion"/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L4" sqref="L4"/>
    </sheetView>
  </sheetViews>
  <sheetFormatPr baseColWidth="10" defaultColWidth="10.85546875" defaultRowHeight="15" x14ac:dyDescent="0.25"/>
  <sheetData>
    <row r="1" spans="1:9" ht="15.75" thickBot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ht="60.75" thickBot="1" x14ac:dyDescent="0.3">
      <c r="A2" t="s">
        <v>141</v>
      </c>
      <c r="B2" s="9" t="s">
        <v>155</v>
      </c>
      <c r="C2" s="9" t="s">
        <v>155</v>
      </c>
      <c r="D2" s="9" t="s">
        <v>157</v>
      </c>
      <c r="E2" s="9" t="s">
        <v>157</v>
      </c>
      <c r="F2" s="10" t="s">
        <v>161</v>
      </c>
      <c r="G2" s="10" t="s">
        <v>161</v>
      </c>
      <c r="H2" s="10" t="s">
        <v>162</v>
      </c>
      <c r="I2" s="10" t="s">
        <v>162</v>
      </c>
    </row>
    <row r="3" spans="1:9" ht="60.75" thickBot="1" x14ac:dyDescent="0.3">
      <c r="A3" t="s">
        <v>142</v>
      </c>
      <c r="B3" s="9" t="s">
        <v>155</v>
      </c>
      <c r="C3" s="9" t="s">
        <v>155</v>
      </c>
      <c r="D3" s="9" t="s">
        <v>157</v>
      </c>
      <c r="E3" s="9" t="s">
        <v>157</v>
      </c>
      <c r="F3" s="10" t="s">
        <v>161</v>
      </c>
      <c r="G3" s="10" t="s">
        <v>161</v>
      </c>
      <c r="H3" s="10" t="s">
        <v>163</v>
      </c>
      <c r="I3" s="10" t="s">
        <v>163</v>
      </c>
    </row>
    <row r="4" spans="1:9" ht="60.75" thickBot="1" x14ac:dyDescent="0.3">
      <c r="A4" t="s">
        <v>143</v>
      </c>
      <c r="B4" s="9" t="s">
        <v>156</v>
      </c>
      <c r="C4" s="9" t="s">
        <v>156</v>
      </c>
      <c r="D4" s="9" t="s">
        <v>158</v>
      </c>
      <c r="E4" s="9" t="s">
        <v>158</v>
      </c>
      <c r="F4" s="10" t="s">
        <v>161</v>
      </c>
      <c r="G4" s="10" t="s">
        <v>161</v>
      </c>
      <c r="H4" s="10" t="s">
        <v>163</v>
      </c>
      <c r="I4" s="10" t="s">
        <v>163</v>
      </c>
    </row>
    <row r="5" spans="1:9" ht="60.75" thickBot="1" x14ac:dyDescent="0.3">
      <c r="A5" t="s">
        <v>144</v>
      </c>
      <c r="B5" s="9" t="s">
        <v>156</v>
      </c>
      <c r="C5" s="9" t="s">
        <v>156</v>
      </c>
      <c r="D5" s="9" t="s">
        <v>158</v>
      </c>
      <c r="E5" s="9" t="s">
        <v>158</v>
      </c>
      <c r="F5" s="10" t="s">
        <v>161</v>
      </c>
      <c r="G5" s="10" t="s">
        <v>161</v>
      </c>
      <c r="H5" s="10" t="s">
        <v>163</v>
      </c>
      <c r="I5" s="10" t="s">
        <v>163</v>
      </c>
    </row>
    <row r="6" spans="1:9" ht="60.75" thickBot="1" x14ac:dyDescent="0.3">
      <c r="A6" t="s">
        <v>145</v>
      </c>
      <c r="B6" s="9" t="s">
        <v>157</v>
      </c>
      <c r="C6" s="9" t="s">
        <v>157</v>
      </c>
      <c r="D6" s="11" t="s">
        <v>159</v>
      </c>
      <c r="E6" s="11" t="s">
        <v>159</v>
      </c>
      <c r="F6" s="10" t="s">
        <v>162</v>
      </c>
      <c r="G6" s="10" t="s">
        <v>162</v>
      </c>
      <c r="H6" s="10" t="s">
        <v>163</v>
      </c>
      <c r="I6" s="10" t="s">
        <v>163</v>
      </c>
    </row>
    <row r="7" spans="1:9" ht="60.75" thickBot="1" x14ac:dyDescent="0.3">
      <c r="A7" t="s">
        <v>146</v>
      </c>
      <c r="B7" s="9" t="s">
        <v>157</v>
      </c>
      <c r="C7" s="9" t="s">
        <v>157</v>
      </c>
      <c r="D7" s="10" t="s">
        <v>160</v>
      </c>
      <c r="E7" s="10" t="s">
        <v>160</v>
      </c>
      <c r="F7" s="10" t="s">
        <v>162</v>
      </c>
      <c r="G7" s="10" t="s">
        <v>162</v>
      </c>
      <c r="H7" s="5" t="s">
        <v>154</v>
      </c>
      <c r="I7" s="5" t="s">
        <v>154</v>
      </c>
    </row>
    <row r="8" spans="1:9" x14ac:dyDescent="0.25">
      <c r="B8" s="6" t="s">
        <v>48</v>
      </c>
      <c r="C8" s="6" t="s">
        <v>49</v>
      </c>
      <c r="D8" s="6" t="s">
        <v>48</v>
      </c>
      <c r="E8" s="6" t="s">
        <v>49</v>
      </c>
      <c r="F8" s="7" t="s">
        <v>49</v>
      </c>
      <c r="G8" s="7" t="s">
        <v>48</v>
      </c>
      <c r="H8" s="8" t="s">
        <v>49</v>
      </c>
      <c r="I8" s="8" t="s">
        <v>48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>
      <selection activeCell="B15" sqref="B15"/>
    </sheetView>
  </sheetViews>
  <sheetFormatPr baseColWidth="10" defaultColWidth="10.7109375" defaultRowHeight="15" x14ac:dyDescent="0.25"/>
  <cols>
    <col min="1" max="1" width="13" customWidth="1"/>
    <col min="2" max="2" width="29.5703125" bestFit="1" customWidth="1"/>
    <col min="3" max="3" width="16" customWidth="1"/>
    <col min="4" max="4" width="13.7109375" bestFit="1" customWidth="1"/>
  </cols>
  <sheetData>
    <row r="1" spans="1:4" x14ac:dyDescent="0.25">
      <c r="A1" s="1" t="s">
        <v>120</v>
      </c>
      <c r="B1" s="1" t="s">
        <v>125</v>
      </c>
      <c r="C1" s="2" t="s">
        <v>121</v>
      </c>
      <c r="D1" s="2" t="s">
        <v>126</v>
      </c>
    </row>
    <row r="2" spans="1:4" x14ac:dyDescent="0.25">
      <c r="A2" t="s">
        <v>0</v>
      </c>
    </row>
    <row r="3" spans="1:4" x14ac:dyDescent="0.25">
      <c r="A3" t="s">
        <v>1</v>
      </c>
    </row>
    <row r="4" spans="1:4" x14ac:dyDescent="0.25">
      <c r="A4" t="s">
        <v>2</v>
      </c>
    </row>
    <row r="5" spans="1:4" x14ac:dyDescent="0.25">
      <c r="A5" t="s">
        <v>3</v>
      </c>
    </row>
    <row r="6" spans="1:4" x14ac:dyDescent="0.25">
      <c r="A6" t="s">
        <v>4</v>
      </c>
    </row>
    <row r="7" spans="1:4" x14ac:dyDescent="0.25">
      <c r="A7" t="s">
        <v>5</v>
      </c>
      <c r="B7" t="s">
        <v>99</v>
      </c>
      <c r="C7" t="s">
        <v>99</v>
      </c>
      <c r="D7" t="s">
        <v>127</v>
      </c>
    </row>
    <row r="8" spans="1:4" x14ac:dyDescent="0.25">
      <c r="A8" t="s">
        <v>6</v>
      </c>
      <c r="B8" t="s">
        <v>99</v>
      </c>
      <c r="C8" t="s">
        <v>99</v>
      </c>
      <c r="D8" t="s">
        <v>127</v>
      </c>
    </row>
    <row r="9" spans="1:4" x14ac:dyDescent="0.25">
      <c r="A9" t="s">
        <v>7</v>
      </c>
    </row>
    <row r="10" spans="1:4" x14ac:dyDescent="0.25">
      <c r="A10" t="s">
        <v>51</v>
      </c>
    </row>
    <row r="11" spans="1:4" x14ac:dyDescent="0.25">
      <c r="A11" t="s">
        <v>52</v>
      </c>
    </row>
    <row r="12" spans="1:4" x14ac:dyDescent="0.25">
      <c r="A12" t="s">
        <v>53</v>
      </c>
    </row>
    <row r="13" spans="1:4" x14ac:dyDescent="0.25">
      <c r="A13" t="s">
        <v>54</v>
      </c>
    </row>
    <row r="14" spans="1:4" x14ac:dyDescent="0.25">
      <c r="A14" t="s">
        <v>8</v>
      </c>
    </row>
    <row r="15" spans="1:4" x14ac:dyDescent="0.25">
      <c r="A15" t="s">
        <v>9</v>
      </c>
      <c r="B15" t="str">
        <f>biolectorlayout!E3</f>
        <v>pCMEx8-PhoB-Lss-Stop</v>
      </c>
      <c r="C15" t="str">
        <f>biolectorlayout!B3</f>
        <v>MP7Y5R.A02</v>
      </c>
      <c r="D15" t="s">
        <v>128</v>
      </c>
    </row>
    <row r="16" spans="1:4" x14ac:dyDescent="0.25">
      <c r="A16" t="s">
        <v>10</v>
      </c>
      <c r="B16" t="str">
        <f>biolectorlayout!E5</f>
        <v>pCMEx8-YolA-Lss-Stop</v>
      </c>
      <c r="C16" t="str">
        <f>biolectorlayout!B5</f>
        <v>MP7Y5R.A04</v>
      </c>
      <c r="D16" t="s">
        <v>128</v>
      </c>
    </row>
    <row r="17" spans="1:4" x14ac:dyDescent="0.25">
      <c r="A17" t="s">
        <v>11</v>
      </c>
      <c r="B17" t="str">
        <f>biolectorlayout!E6</f>
        <v>pCMEx8-NprE-DeimLss-Stop</v>
      </c>
      <c r="C17" t="str">
        <f>biolectorlayout!B6</f>
        <v>MP7Y5R.A05</v>
      </c>
      <c r="D17" t="s">
        <v>128</v>
      </c>
    </row>
    <row r="18" spans="1:4" x14ac:dyDescent="0.25">
      <c r="A18" t="s">
        <v>12</v>
      </c>
      <c r="B18" t="str">
        <f>biolectorlayout!E8</f>
        <v>pCMEx8-YolA-DeimLss-Stop</v>
      </c>
      <c r="C18" t="str">
        <f>biolectorlayout!B8</f>
        <v>MP7Y5R.A07</v>
      </c>
      <c r="D18" t="s">
        <v>128</v>
      </c>
    </row>
    <row r="19" spans="1:4" x14ac:dyDescent="0.25">
      <c r="A19" t="s">
        <v>13</v>
      </c>
      <c r="B19" t="s">
        <v>100</v>
      </c>
      <c r="C19" t="s">
        <v>100</v>
      </c>
      <c r="D19" t="s">
        <v>127</v>
      </c>
    </row>
    <row r="20" spans="1:4" x14ac:dyDescent="0.25">
      <c r="A20" t="s">
        <v>14</v>
      </c>
      <c r="B20" t="s">
        <v>100</v>
      </c>
      <c r="C20" t="s">
        <v>100</v>
      </c>
      <c r="D20" t="s">
        <v>127</v>
      </c>
    </row>
    <row r="21" spans="1:4" x14ac:dyDescent="0.25">
      <c r="A21" t="s">
        <v>15</v>
      </c>
      <c r="B21" t="str">
        <f>B15</f>
        <v>pCMEx8-PhoB-Lss-Stop</v>
      </c>
      <c r="C21" t="str">
        <f>C15</f>
        <v>MP7Y5R.A02</v>
      </c>
      <c r="D21" t="s">
        <v>128</v>
      </c>
    </row>
    <row r="22" spans="1:4" x14ac:dyDescent="0.25">
      <c r="A22" t="s">
        <v>55</v>
      </c>
      <c r="B22" t="str">
        <f t="shared" ref="B22:C22" si="0">B16</f>
        <v>pCMEx8-YolA-Lss-Stop</v>
      </c>
      <c r="C22" t="str">
        <f t="shared" si="0"/>
        <v>MP7Y5R.A04</v>
      </c>
      <c r="D22" t="s">
        <v>128</v>
      </c>
    </row>
    <row r="23" spans="1:4" x14ac:dyDescent="0.25">
      <c r="A23" t="s">
        <v>56</v>
      </c>
      <c r="B23" t="str">
        <f t="shared" ref="B23:C23" si="1">B17</f>
        <v>pCMEx8-NprE-DeimLss-Stop</v>
      </c>
      <c r="C23" t="str">
        <f t="shared" si="1"/>
        <v>MP7Y5R.A05</v>
      </c>
      <c r="D23" t="s">
        <v>128</v>
      </c>
    </row>
    <row r="24" spans="1:4" x14ac:dyDescent="0.25">
      <c r="A24" t="s">
        <v>57</v>
      </c>
      <c r="B24" t="str">
        <f t="shared" ref="B24:C24" si="2">B18</f>
        <v>pCMEx8-YolA-DeimLss-Stop</v>
      </c>
      <c r="C24" t="str">
        <f t="shared" si="2"/>
        <v>MP7Y5R.A07</v>
      </c>
      <c r="D24" t="s">
        <v>128</v>
      </c>
    </row>
    <row r="25" spans="1:4" x14ac:dyDescent="0.25">
      <c r="A25" t="s">
        <v>58</v>
      </c>
    </row>
    <row r="26" spans="1:4" x14ac:dyDescent="0.25">
      <c r="A26" t="s">
        <v>16</v>
      </c>
    </row>
    <row r="27" spans="1:4" x14ac:dyDescent="0.25">
      <c r="A27" t="s">
        <v>17</v>
      </c>
      <c r="B27" t="str">
        <f>biolectorlayout!E11</f>
        <v>pCMEx8-PhoB-Lss-Stop</v>
      </c>
      <c r="C27" t="str">
        <f>biolectorlayout!B11</f>
        <v>MP7Y5R.B02</v>
      </c>
      <c r="D27" t="s">
        <v>128</v>
      </c>
    </row>
    <row r="28" spans="1:4" x14ac:dyDescent="0.25">
      <c r="A28" t="s">
        <v>18</v>
      </c>
      <c r="B28" t="str">
        <f>biolectorlayout!E13</f>
        <v>pCMEx8-YolA-Lss-Stop</v>
      </c>
      <c r="C28" t="str">
        <f>biolectorlayout!B13</f>
        <v>MP7Y5R.B04</v>
      </c>
      <c r="D28" t="s">
        <v>128</v>
      </c>
    </row>
    <row r="29" spans="1:4" x14ac:dyDescent="0.25">
      <c r="A29" t="s">
        <v>19</v>
      </c>
      <c r="B29" t="str">
        <f>biolectorlayout!E14</f>
        <v>pCMEx8-NprE-DeimLss-Stop</v>
      </c>
      <c r="C29" t="str">
        <f>biolectorlayout!B14</f>
        <v>MP7Y5R.B05</v>
      </c>
      <c r="D29" t="s">
        <v>128</v>
      </c>
    </row>
    <row r="30" spans="1:4" x14ac:dyDescent="0.25">
      <c r="A30" t="s">
        <v>20</v>
      </c>
      <c r="B30" t="str">
        <f>biolectorlayout!E16</f>
        <v>pCMEx8-YwaD-DeimLss-Stop</v>
      </c>
      <c r="C30" t="str">
        <f>biolectorlayout!B16</f>
        <v>MP7Y5R.B07</v>
      </c>
      <c r="D30" t="s">
        <v>128</v>
      </c>
    </row>
    <row r="31" spans="1:4" x14ac:dyDescent="0.25">
      <c r="A31" t="s">
        <v>21</v>
      </c>
      <c r="B31" t="s">
        <v>101</v>
      </c>
      <c r="C31" t="s">
        <v>101</v>
      </c>
      <c r="D31" t="s">
        <v>127</v>
      </c>
    </row>
    <row r="32" spans="1:4" x14ac:dyDescent="0.25">
      <c r="A32" t="s">
        <v>22</v>
      </c>
      <c r="B32" t="s">
        <v>101</v>
      </c>
      <c r="C32" t="s">
        <v>101</v>
      </c>
      <c r="D32" t="s">
        <v>127</v>
      </c>
    </row>
    <row r="33" spans="1:4" x14ac:dyDescent="0.25">
      <c r="A33" t="s">
        <v>23</v>
      </c>
      <c r="B33" t="str">
        <f>B27</f>
        <v>pCMEx8-PhoB-Lss-Stop</v>
      </c>
      <c r="C33" t="str">
        <f>C27</f>
        <v>MP7Y5R.B02</v>
      </c>
      <c r="D33" t="s">
        <v>128</v>
      </c>
    </row>
    <row r="34" spans="1:4" x14ac:dyDescent="0.25">
      <c r="A34" t="s">
        <v>59</v>
      </c>
      <c r="B34" t="str">
        <f t="shared" ref="B34:C34" si="3">B28</f>
        <v>pCMEx8-YolA-Lss-Stop</v>
      </c>
      <c r="C34" t="str">
        <f t="shared" si="3"/>
        <v>MP7Y5R.B04</v>
      </c>
      <c r="D34" t="s">
        <v>128</v>
      </c>
    </row>
    <row r="35" spans="1:4" x14ac:dyDescent="0.25">
      <c r="A35" t="s">
        <v>60</v>
      </c>
      <c r="B35" t="str">
        <f t="shared" ref="B35:C35" si="4">B29</f>
        <v>pCMEx8-NprE-DeimLss-Stop</v>
      </c>
      <c r="C35" t="str">
        <f t="shared" si="4"/>
        <v>MP7Y5R.B05</v>
      </c>
      <c r="D35" t="s">
        <v>128</v>
      </c>
    </row>
    <row r="36" spans="1:4" x14ac:dyDescent="0.25">
      <c r="A36" t="s">
        <v>61</v>
      </c>
      <c r="B36" t="str">
        <f t="shared" ref="B36:C36" si="5">B30</f>
        <v>pCMEx8-YwaD-DeimLss-Stop</v>
      </c>
      <c r="C36" t="str">
        <f t="shared" si="5"/>
        <v>MP7Y5R.B07</v>
      </c>
      <c r="D36" t="s">
        <v>128</v>
      </c>
    </row>
    <row r="37" spans="1:4" x14ac:dyDescent="0.25">
      <c r="A37" t="s">
        <v>62</v>
      </c>
    </row>
    <row r="38" spans="1:4" x14ac:dyDescent="0.25">
      <c r="A38" t="s">
        <v>24</v>
      </c>
    </row>
    <row r="39" spans="1:4" x14ac:dyDescent="0.25">
      <c r="A39" t="s">
        <v>25</v>
      </c>
      <c r="B39" t="str">
        <f>biolectorlayout!E19</f>
        <v>pCMEx8-YoaW-Lss-Stop</v>
      </c>
      <c r="C39" t="str">
        <f>biolectorlayout!B19</f>
        <v>MP7Y5R.C02</v>
      </c>
      <c r="D39" t="s">
        <v>128</v>
      </c>
    </row>
    <row r="40" spans="1:4" x14ac:dyDescent="0.25">
      <c r="A40" t="s">
        <v>26</v>
      </c>
      <c r="B40" t="str">
        <f>biolectorlayout!E21</f>
        <v>pCMEx8-YwaD-Lss-Stop</v>
      </c>
      <c r="C40" t="str">
        <f>biolectorlayout!B21</f>
        <v>MP7Y5R.C04</v>
      </c>
      <c r="D40" t="s">
        <v>128</v>
      </c>
    </row>
    <row r="41" spans="1:4" x14ac:dyDescent="0.25">
      <c r="A41" t="s">
        <v>27</v>
      </c>
      <c r="B41" t="str">
        <f>biolectorlayout!E22</f>
        <v>pCMEx8-NprE-DeimLss-Stop</v>
      </c>
      <c r="C41" t="str">
        <f>biolectorlayout!B22</f>
        <v>MP7Y5R.C05</v>
      </c>
      <c r="D41" t="s">
        <v>128</v>
      </c>
    </row>
    <row r="42" spans="1:4" x14ac:dyDescent="0.25">
      <c r="A42" t="s">
        <v>28</v>
      </c>
      <c r="B42" t="str">
        <f>biolectorlayout!E24</f>
        <v>pCMEx8-YwaD-DeimLss-Stop</v>
      </c>
      <c r="C42" t="str">
        <f>biolectorlayout!B24</f>
        <v>MP7Y5R.C07</v>
      </c>
      <c r="D42" t="s">
        <v>128</v>
      </c>
    </row>
    <row r="43" spans="1:4" x14ac:dyDescent="0.25">
      <c r="A43" t="s">
        <v>29</v>
      </c>
      <c r="B43" t="s">
        <v>102</v>
      </c>
      <c r="C43" t="s">
        <v>102</v>
      </c>
      <c r="D43" t="s">
        <v>127</v>
      </c>
    </row>
    <row r="44" spans="1:4" x14ac:dyDescent="0.25">
      <c r="A44" t="s">
        <v>30</v>
      </c>
      <c r="B44" t="s">
        <v>102</v>
      </c>
      <c r="C44" t="s">
        <v>102</v>
      </c>
      <c r="D44" t="s">
        <v>127</v>
      </c>
    </row>
    <row r="45" spans="1:4" x14ac:dyDescent="0.25">
      <c r="A45" t="s">
        <v>31</v>
      </c>
      <c r="B45" t="str">
        <f>B39</f>
        <v>pCMEx8-YoaW-Lss-Stop</v>
      </c>
      <c r="C45" t="str">
        <f>C39</f>
        <v>MP7Y5R.C02</v>
      </c>
      <c r="D45" t="s">
        <v>128</v>
      </c>
    </row>
    <row r="46" spans="1:4" x14ac:dyDescent="0.25">
      <c r="A46" t="s">
        <v>63</v>
      </c>
      <c r="B46" t="str">
        <f t="shared" ref="B46:C46" si="6">B40</f>
        <v>pCMEx8-YwaD-Lss-Stop</v>
      </c>
      <c r="C46" t="str">
        <f t="shared" si="6"/>
        <v>MP7Y5R.C04</v>
      </c>
      <c r="D46" t="s">
        <v>128</v>
      </c>
    </row>
    <row r="47" spans="1:4" x14ac:dyDescent="0.25">
      <c r="A47" t="s">
        <v>64</v>
      </c>
      <c r="B47" t="str">
        <f t="shared" ref="B47:C47" si="7">B41</f>
        <v>pCMEx8-NprE-DeimLss-Stop</v>
      </c>
      <c r="C47" t="str">
        <f t="shared" si="7"/>
        <v>MP7Y5R.C05</v>
      </c>
      <c r="D47" t="s">
        <v>128</v>
      </c>
    </row>
    <row r="48" spans="1:4" x14ac:dyDescent="0.25">
      <c r="A48" t="s">
        <v>65</v>
      </c>
      <c r="B48" t="str">
        <f>B42</f>
        <v>pCMEx8-YwaD-DeimLss-Stop</v>
      </c>
      <c r="C48" t="str">
        <f>C42</f>
        <v>MP7Y5R.C07</v>
      </c>
      <c r="D48" t="s">
        <v>128</v>
      </c>
    </row>
    <row r="49" spans="1:4" x14ac:dyDescent="0.25">
      <c r="A49" t="s">
        <v>66</v>
      </c>
    </row>
    <row r="50" spans="1:4" x14ac:dyDescent="0.25">
      <c r="A50" t="s">
        <v>32</v>
      </c>
    </row>
    <row r="51" spans="1:4" x14ac:dyDescent="0.25">
      <c r="A51" t="s">
        <v>33</v>
      </c>
      <c r="B51" t="str">
        <f>biolectorlayout!E27</f>
        <v>pCMEx8-YoaW-Lss-Stop</v>
      </c>
      <c r="C51" t="str">
        <f>biolectorlayout!B27</f>
        <v>MP7Y5R.D02</v>
      </c>
      <c r="D51" t="s">
        <v>128</v>
      </c>
    </row>
    <row r="52" spans="1:4" x14ac:dyDescent="0.25">
      <c r="A52" t="s">
        <v>34</v>
      </c>
      <c r="B52" t="str">
        <f>biolectorlayout!E29</f>
        <v>pCMEx8-YwaD-Lss-Stop</v>
      </c>
      <c r="C52" t="str">
        <f>biolectorlayout!B29</f>
        <v>MP7Y5R.D04</v>
      </c>
      <c r="D52" t="s">
        <v>128</v>
      </c>
    </row>
    <row r="53" spans="1:4" x14ac:dyDescent="0.25">
      <c r="A53" t="s">
        <v>35</v>
      </c>
      <c r="B53" t="str">
        <f>biolectorlayout!E30</f>
        <v>pCMEx8-NprE-DeimLss-Stop</v>
      </c>
      <c r="C53" t="str">
        <f>biolectorlayout!B30</f>
        <v>MP7Y5R.D05</v>
      </c>
      <c r="D53" t="s">
        <v>128</v>
      </c>
    </row>
    <row r="54" spans="1:4" x14ac:dyDescent="0.25">
      <c r="A54" t="s">
        <v>36</v>
      </c>
      <c r="B54" t="str">
        <f>biolectorlayout!E32</f>
        <v>pCMEx8-YwaD-DeimLss-Stop</v>
      </c>
      <c r="C54" t="str">
        <f>biolectorlayout!B32</f>
        <v>MP7Y5R.D07</v>
      </c>
      <c r="D54" t="s">
        <v>128</v>
      </c>
    </row>
    <row r="55" spans="1:4" x14ac:dyDescent="0.25">
      <c r="A55" t="s">
        <v>37</v>
      </c>
      <c r="B55" t="s">
        <v>103</v>
      </c>
      <c r="C55" t="s">
        <v>103</v>
      </c>
      <c r="D55" t="s">
        <v>127</v>
      </c>
    </row>
    <row r="56" spans="1:4" x14ac:dyDescent="0.25">
      <c r="A56" t="s">
        <v>38</v>
      </c>
      <c r="B56" t="s">
        <v>103</v>
      </c>
      <c r="C56" t="s">
        <v>103</v>
      </c>
      <c r="D56" t="s">
        <v>127</v>
      </c>
    </row>
    <row r="57" spans="1:4" x14ac:dyDescent="0.25">
      <c r="A57" t="s">
        <v>39</v>
      </c>
      <c r="B57" t="str">
        <f>B51</f>
        <v>pCMEx8-YoaW-Lss-Stop</v>
      </c>
      <c r="C57" t="str">
        <f>C51</f>
        <v>MP7Y5R.D02</v>
      </c>
      <c r="D57" t="s">
        <v>128</v>
      </c>
    </row>
    <row r="58" spans="1:4" x14ac:dyDescent="0.25">
      <c r="A58" t="s">
        <v>67</v>
      </c>
      <c r="B58" t="str">
        <f t="shared" ref="B58:C58" si="8">B52</f>
        <v>pCMEx8-YwaD-Lss-Stop</v>
      </c>
      <c r="C58" t="str">
        <f t="shared" si="8"/>
        <v>MP7Y5R.D04</v>
      </c>
      <c r="D58" t="s">
        <v>128</v>
      </c>
    </row>
    <row r="59" spans="1:4" x14ac:dyDescent="0.25">
      <c r="A59" t="s">
        <v>68</v>
      </c>
      <c r="B59" t="str">
        <f t="shared" ref="B59:C59" si="9">B53</f>
        <v>pCMEx8-NprE-DeimLss-Stop</v>
      </c>
      <c r="C59" t="str">
        <f t="shared" si="9"/>
        <v>MP7Y5R.D05</v>
      </c>
      <c r="D59" t="s">
        <v>128</v>
      </c>
    </row>
    <row r="60" spans="1:4" x14ac:dyDescent="0.25">
      <c r="A60" t="s">
        <v>69</v>
      </c>
      <c r="B60" t="str">
        <f t="shared" ref="B60:C60" si="10">B54</f>
        <v>pCMEx8-YwaD-DeimLss-Stop</v>
      </c>
      <c r="C60" t="str">
        <f t="shared" si="10"/>
        <v>MP7Y5R.D07</v>
      </c>
      <c r="D60" t="s">
        <v>128</v>
      </c>
    </row>
    <row r="61" spans="1:4" x14ac:dyDescent="0.25">
      <c r="A61" t="s">
        <v>70</v>
      </c>
    </row>
    <row r="62" spans="1:4" x14ac:dyDescent="0.25">
      <c r="A62" t="s">
        <v>40</v>
      </c>
    </row>
    <row r="63" spans="1:4" x14ac:dyDescent="0.25">
      <c r="A63" t="s">
        <v>41</v>
      </c>
      <c r="B63" t="str">
        <f>biolectorlayout!E35</f>
        <v>pCMEx8-YolA-Lss-Stop</v>
      </c>
      <c r="C63" t="str">
        <f>biolectorlayout!B35</f>
        <v>MP7Y5R.E02</v>
      </c>
      <c r="D63" t="s">
        <v>128</v>
      </c>
    </row>
    <row r="64" spans="1:4" x14ac:dyDescent="0.25">
      <c r="A64" t="s">
        <v>42</v>
      </c>
      <c r="B64" t="str">
        <f>biolectorlayout!E37</f>
        <v>pCMEx8-YolA-Lss-GFP11</v>
      </c>
      <c r="C64" t="str">
        <f>biolectorlayout!B37</f>
        <v>MP7Y5R.E04</v>
      </c>
      <c r="D64" t="s">
        <v>128</v>
      </c>
    </row>
    <row r="65" spans="1:4" x14ac:dyDescent="0.25">
      <c r="A65" t="s">
        <v>43</v>
      </c>
      <c r="B65" t="str">
        <f>biolectorlayout!E38</f>
        <v>pCMEx8-YolA-DeimLss-Stop</v>
      </c>
      <c r="C65" t="str">
        <f>biolectorlayout!B38</f>
        <v>MP7Y5R.E05</v>
      </c>
      <c r="D65" t="s">
        <v>128</v>
      </c>
    </row>
    <row r="66" spans="1:4" x14ac:dyDescent="0.25">
      <c r="A66" t="s">
        <v>44</v>
      </c>
      <c r="B66" t="str">
        <f>biolectorlayout!E40</f>
        <v>pCMEx8-YwaD-DeimLss-Stop</v>
      </c>
      <c r="C66" t="str">
        <f>biolectorlayout!B40</f>
        <v>MP7Y5R.E07</v>
      </c>
      <c r="D66" t="s">
        <v>128</v>
      </c>
    </row>
    <row r="67" spans="1:4" x14ac:dyDescent="0.25">
      <c r="A67" t="s">
        <v>45</v>
      </c>
      <c r="B67" t="s">
        <v>104</v>
      </c>
      <c r="C67" t="s">
        <v>104</v>
      </c>
      <c r="D67" t="s">
        <v>127</v>
      </c>
    </row>
    <row r="68" spans="1:4" x14ac:dyDescent="0.25">
      <c r="A68" t="s">
        <v>46</v>
      </c>
      <c r="B68" t="s">
        <v>104</v>
      </c>
      <c r="C68" t="s">
        <v>104</v>
      </c>
      <c r="D68" t="s">
        <v>127</v>
      </c>
    </row>
    <row r="69" spans="1:4" x14ac:dyDescent="0.25">
      <c r="A69" t="s">
        <v>47</v>
      </c>
      <c r="B69" t="str">
        <f>B63</f>
        <v>pCMEx8-YolA-Lss-Stop</v>
      </c>
      <c r="C69" t="str">
        <f>C63</f>
        <v>MP7Y5R.E02</v>
      </c>
      <c r="D69" t="s">
        <v>128</v>
      </c>
    </row>
    <row r="70" spans="1:4" x14ac:dyDescent="0.25">
      <c r="A70" t="s">
        <v>71</v>
      </c>
      <c r="B70" t="str">
        <f t="shared" ref="B70:C70" si="11">B64</f>
        <v>pCMEx8-YolA-Lss-GFP11</v>
      </c>
      <c r="C70" t="str">
        <f t="shared" si="11"/>
        <v>MP7Y5R.E04</v>
      </c>
      <c r="D70" t="s">
        <v>128</v>
      </c>
    </row>
    <row r="71" spans="1:4" x14ac:dyDescent="0.25">
      <c r="A71" t="s">
        <v>72</v>
      </c>
      <c r="B71" t="str">
        <f t="shared" ref="B71:C71" si="12">B65</f>
        <v>pCMEx8-YolA-DeimLss-Stop</v>
      </c>
      <c r="C71" t="str">
        <f t="shared" si="12"/>
        <v>MP7Y5R.E05</v>
      </c>
      <c r="D71" t="s">
        <v>128</v>
      </c>
    </row>
    <row r="72" spans="1:4" x14ac:dyDescent="0.25">
      <c r="A72" t="s">
        <v>73</v>
      </c>
      <c r="B72" t="str">
        <f t="shared" ref="B72:C72" si="13">B66</f>
        <v>pCMEx8-YwaD-DeimLss-Stop</v>
      </c>
      <c r="C72" t="str">
        <f t="shared" si="13"/>
        <v>MP7Y5R.E07</v>
      </c>
      <c r="D72" t="s">
        <v>128</v>
      </c>
    </row>
    <row r="73" spans="1:4" x14ac:dyDescent="0.25">
      <c r="A73" t="s">
        <v>74</v>
      </c>
    </row>
    <row r="74" spans="1:4" x14ac:dyDescent="0.25">
      <c r="A74" t="s">
        <v>75</v>
      </c>
    </row>
    <row r="75" spans="1:4" x14ac:dyDescent="0.25">
      <c r="A75" t="s">
        <v>76</v>
      </c>
      <c r="B75" t="str">
        <f>biolectorlayout!E43</f>
        <v>pCMEx8-YolA-Lss-Stop</v>
      </c>
      <c r="C75" t="str">
        <f>biolectorlayout!B43</f>
        <v>MP7Y5R.F02</v>
      </c>
      <c r="D75" t="s">
        <v>128</v>
      </c>
    </row>
    <row r="76" spans="1:4" x14ac:dyDescent="0.25">
      <c r="A76" t="s">
        <v>77</v>
      </c>
      <c r="B76" t="str">
        <f>biolectorlayout!E45</f>
        <v>pCMEx8-Bsn-DeimLss-Stop</v>
      </c>
      <c r="C76" t="str">
        <f>biolectorlayout!B45</f>
        <v>MP7Y5R.F04</v>
      </c>
      <c r="D76" t="s">
        <v>128</v>
      </c>
    </row>
    <row r="77" spans="1:4" x14ac:dyDescent="0.25">
      <c r="A77" t="s">
        <v>78</v>
      </c>
      <c r="B77" t="str">
        <f>biolectorlayout!E46</f>
        <v>pCMEx8-YolA-DeimLss-Stop</v>
      </c>
      <c r="C77" t="str">
        <f>biolectorlayout!B46</f>
        <v>MP7Y5R.F05</v>
      </c>
      <c r="D77" t="s">
        <v>128</v>
      </c>
    </row>
    <row r="78" spans="1:4" x14ac:dyDescent="0.25">
      <c r="A78" t="s">
        <v>79</v>
      </c>
      <c r="B78" t="str">
        <f>biolectorlayout!E48</f>
        <v>pCMEx8-NprE-Cutinase-GFP11</v>
      </c>
      <c r="C78" t="str">
        <f>biolectorlayout!B48</f>
        <v>MP7Y5R.F07</v>
      </c>
      <c r="D78" t="s">
        <v>128</v>
      </c>
    </row>
    <row r="79" spans="1:4" x14ac:dyDescent="0.25">
      <c r="A79" t="s">
        <v>80</v>
      </c>
      <c r="B79" t="s">
        <v>105</v>
      </c>
      <c r="C79" t="s">
        <v>105</v>
      </c>
      <c r="D79" t="s">
        <v>127</v>
      </c>
    </row>
    <row r="80" spans="1:4" x14ac:dyDescent="0.25">
      <c r="A80" t="s">
        <v>81</v>
      </c>
      <c r="B80" t="s">
        <v>105</v>
      </c>
      <c r="C80" t="s">
        <v>105</v>
      </c>
      <c r="D80" t="s">
        <v>127</v>
      </c>
    </row>
    <row r="81" spans="1:4" x14ac:dyDescent="0.25">
      <c r="A81" t="s">
        <v>82</v>
      </c>
      <c r="B81" t="str">
        <f>B75</f>
        <v>pCMEx8-YolA-Lss-Stop</v>
      </c>
      <c r="C81" t="str">
        <f>C75</f>
        <v>MP7Y5R.F02</v>
      </c>
      <c r="D81" t="s">
        <v>128</v>
      </c>
    </row>
    <row r="82" spans="1:4" x14ac:dyDescent="0.25">
      <c r="A82" t="s">
        <v>83</v>
      </c>
      <c r="B82" t="str">
        <f t="shared" ref="B82:C82" si="14">B76</f>
        <v>pCMEx8-Bsn-DeimLss-Stop</v>
      </c>
      <c r="C82" t="str">
        <f t="shared" si="14"/>
        <v>MP7Y5R.F04</v>
      </c>
      <c r="D82" t="s">
        <v>128</v>
      </c>
    </row>
    <row r="83" spans="1:4" x14ac:dyDescent="0.25">
      <c r="A83" t="s">
        <v>84</v>
      </c>
      <c r="B83" t="str">
        <f t="shared" ref="B83:C83" si="15">B77</f>
        <v>pCMEx8-YolA-DeimLss-Stop</v>
      </c>
      <c r="C83" t="str">
        <f t="shared" si="15"/>
        <v>MP7Y5R.F05</v>
      </c>
      <c r="D83" t="s">
        <v>128</v>
      </c>
    </row>
    <row r="84" spans="1:4" x14ac:dyDescent="0.25">
      <c r="A84" t="s">
        <v>85</v>
      </c>
      <c r="B84" t="str">
        <f t="shared" ref="B84:C84" si="16">B78</f>
        <v>pCMEx8-NprE-Cutinase-GFP11</v>
      </c>
      <c r="C84" t="str">
        <f t="shared" si="16"/>
        <v>MP7Y5R.F07</v>
      </c>
      <c r="D84" t="s">
        <v>128</v>
      </c>
    </row>
    <row r="85" spans="1:4" x14ac:dyDescent="0.25">
      <c r="A85" t="s">
        <v>86</v>
      </c>
    </row>
    <row r="86" spans="1:4" x14ac:dyDescent="0.25">
      <c r="A86" t="s">
        <v>87</v>
      </c>
    </row>
    <row r="87" spans="1:4" x14ac:dyDescent="0.25">
      <c r="A87" t="s">
        <v>88</v>
      </c>
    </row>
    <row r="88" spans="1:4" x14ac:dyDescent="0.25">
      <c r="A88" t="s">
        <v>89</v>
      </c>
    </row>
    <row r="89" spans="1:4" x14ac:dyDescent="0.25">
      <c r="A89" t="s">
        <v>90</v>
      </c>
    </row>
    <row r="90" spans="1:4" x14ac:dyDescent="0.25">
      <c r="A90" t="s">
        <v>91</v>
      </c>
    </row>
    <row r="91" spans="1:4" x14ac:dyDescent="0.25">
      <c r="A91" t="s">
        <v>92</v>
      </c>
      <c r="B91" t="s">
        <v>106</v>
      </c>
      <c r="C91" t="s">
        <v>106</v>
      </c>
      <c r="D91" t="s">
        <v>127</v>
      </c>
    </row>
    <row r="92" spans="1:4" x14ac:dyDescent="0.25">
      <c r="A92" t="s">
        <v>93</v>
      </c>
      <c r="B92" t="s">
        <v>106</v>
      </c>
      <c r="C92" t="s">
        <v>106</v>
      </c>
      <c r="D92" t="s">
        <v>127</v>
      </c>
    </row>
    <row r="93" spans="1:4" x14ac:dyDescent="0.25">
      <c r="A93" t="s">
        <v>94</v>
      </c>
    </row>
    <row r="94" spans="1:4" x14ac:dyDescent="0.25">
      <c r="A94" t="s">
        <v>95</v>
      </c>
    </row>
    <row r="95" spans="1:4" x14ac:dyDescent="0.25">
      <c r="A95" t="s">
        <v>96</v>
      </c>
    </row>
    <row r="96" spans="1:4" x14ac:dyDescent="0.25">
      <c r="A96" t="s">
        <v>97</v>
      </c>
    </row>
    <row r="97" spans="1:1" x14ac:dyDescent="0.25">
      <c r="A97" t="s">
        <v>98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H42" sqref="H42"/>
    </sheetView>
  </sheetViews>
  <sheetFormatPr baseColWidth="10" defaultColWidth="9.28515625" defaultRowHeight="15" x14ac:dyDescent="0.25"/>
  <cols>
    <col min="1" max="1" width="13.28515625" customWidth="1"/>
    <col min="2" max="2" width="18" bestFit="1" customWidth="1"/>
  </cols>
  <sheetData>
    <row r="1" spans="1:2" x14ac:dyDescent="0.25">
      <c r="A1" t="s">
        <v>121</v>
      </c>
      <c r="B1" t="s">
        <v>129</v>
      </c>
    </row>
    <row r="2" spans="1:2" x14ac:dyDescent="0.25">
      <c r="A2" t="s">
        <v>106</v>
      </c>
      <c r="B2">
        <v>3.9E-2</v>
      </c>
    </row>
    <row r="3" spans="1:2" x14ac:dyDescent="0.25">
      <c r="A3" t="s">
        <v>105</v>
      </c>
      <c r="B3">
        <v>7.8E-2</v>
      </c>
    </row>
    <row r="4" spans="1:2" x14ac:dyDescent="0.25">
      <c r="A4" t="s">
        <v>104</v>
      </c>
      <c r="B4">
        <v>0.156</v>
      </c>
    </row>
    <row r="5" spans="1:2" x14ac:dyDescent="0.25">
      <c r="A5" t="s">
        <v>103</v>
      </c>
      <c r="B5">
        <v>0.316</v>
      </c>
    </row>
    <row r="6" spans="1:2" x14ac:dyDescent="0.25">
      <c r="A6" t="s">
        <v>102</v>
      </c>
      <c r="B6">
        <v>0.625</v>
      </c>
    </row>
    <row r="7" spans="1:2" x14ac:dyDescent="0.25">
      <c r="A7" t="s">
        <v>101</v>
      </c>
      <c r="B7">
        <v>1.25</v>
      </c>
    </row>
    <row r="8" spans="1:2" x14ac:dyDescent="0.25">
      <c r="A8" t="s">
        <v>100</v>
      </c>
      <c r="B8">
        <v>2.5</v>
      </c>
    </row>
    <row r="9" spans="1:2" x14ac:dyDescent="0.25">
      <c r="A9" t="s">
        <v>99</v>
      </c>
      <c r="B9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workbookViewId="0">
      <selection activeCell="C2" sqref="C2:D4"/>
    </sheetView>
  </sheetViews>
  <sheetFormatPr baseColWidth="10" defaultColWidth="11.42578125" defaultRowHeight="15" x14ac:dyDescent="0.25"/>
  <cols>
    <col min="1" max="1" width="15.7109375" bestFit="1" customWidth="1"/>
    <col min="2" max="2" width="14.7109375" bestFit="1" customWidth="1"/>
    <col min="3" max="3" width="26.7109375" bestFit="1" customWidth="1"/>
    <col min="4" max="4" width="14.28515625" bestFit="1" customWidth="1"/>
    <col min="5" max="5" width="13.7109375" bestFit="1" customWidth="1"/>
    <col min="6" max="6" width="15.7109375" bestFit="1" customWidth="1"/>
  </cols>
  <sheetData>
    <row r="1" spans="1:6" x14ac:dyDescent="0.25">
      <c r="A1" t="s">
        <v>140</v>
      </c>
      <c r="B1" s="1" t="s">
        <v>130</v>
      </c>
      <c r="C1" s="1" t="s">
        <v>125</v>
      </c>
      <c r="D1" s="2" t="s">
        <v>121</v>
      </c>
      <c r="E1" s="2" t="s">
        <v>126</v>
      </c>
      <c r="F1" s="2" t="s">
        <v>138</v>
      </c>
    </row>
    <row r="2" spans="1:6" x14ac:dyDescent="0.25">
      <c r="A2" t="s">
        <v>139</v>
      </c>
      <c r="B2" t="s">
        <v>0</v>
      </c>
      <c r="C2" t="s">
        <v>165</v>
      </c>
      <c r="D2" t="s">
        <v>165</v>
      </c>
      <c r="E2" t="s">
        <v>127</v>
      </c>
      <c r="F2">
        <v>1</v>
      </c>
    </row>
    <row r="3" spans="1:6" x14ac:dyDescent="0.25">
      <c r="A3" t="s">
        <v>139</v>
      </c>
      <c r="B3" t="s">
        <v>1</v>
      </c>
      <c r="C3" t="s">
        <v>165</v>
      </c>
      <c r="D3" t="s">
        <v>165</v>
      </c>
      <c r="E3" t="s">
        <v>127</v>
      </c>
      <c r="F3">
        <v>1</v>
      </c>
    </row>
    <row r="4" spans="1:6" x14ac:dyDescent="0.25">
      <c r="A4" t="s">
        <v>139</v>
      </c>
      <c r="B4" t="s">
        <v>2</v>
      </c>
      <c r="C4" t="s">
        <v>165</v>
      </c>
      <c r="D4" t="s">
        <v>165</v>
      </c>
      <c r="E4" t="s">
        <v>127</v>
      </c>
      <c r="F4">
        <v>1</v>
      </c>
    </row>
    <row r="5" spans="1:6" x14ac:dyDescent="0.25">
      <c r="A5" t="s">
        <v>139</v>
      </c>
      <c r="B5" t="s">
        <v>3</v>
      </c>
      <c r="C5" t="str">
        <f>biolectorlayout!E3</f>
        <v>pCMEx8-PhoB-Lss-Stop</v>
      </c>
      <c r="D5" t="str">
        <f>biolectorlayout!B3</f>
        <v>MP7Y5R.A02</v>
      </c>
      <c r="E5" t="s">
        <v>128</v>
      </c>
      <c r="F5">
        <v>1</v>
      </c>
    </row>
    <row r="6" spans="1:6" x14ac:dyDescent="0.25">
      <c r="A6" t="s">
        <v>139</v>
      </c>
      <c r="B6" t="s">
        <v>4</v>
      </c>
      <c r="C6" t="str">
        <f>biolectorlayout!E21</f>
        <v>pCMEx8-YwaD-Lss-Stop</v>
      </c>
      <c r="D6" t="str">
        <f>biolectorlayout!B21</f>
        <v>MP7Y5R.C04</v>
      </c>
      <c r="E6" t="s">
        <v>128</v>
      </c>
      <c r="F6">
        <v>1</v>
      </c>
    </row>
    <row r="7" spans="1:6" x14ac:dyDescent="0.25">
      <c r="A7" t="s">
        <v>139</v>
      </c>
      <c r="B7" t="s">
        <v>5</v>
      </c>
      <c r="C7" t="str">
        <f>biolectorlayout!E38</f>
        <v>pCMEx8-YolA-DeimLss-Stop</v>
      </c>
      <c r="D7" t="str">
        <f>biolectorlayout!B38</f>
        <v>MP7Y5R.E05</v>
      </c>
      <c r="E7" t="s">
        <v>128</v>
      </c>
      <c r="F7">
        <v>1</v>
      </c>
    </row>
    <row r="14" spans="1:6" x14ac:dyDescent="0.25">
      <c r="A14" t="s">
        <v>139</v>
      </c>
      <c r="B14" t="s">
        <v>8</v>
      </c>
      <c r="C14" t="s">
        <v>131</v>
      </c>
      <c r="D14" t="s">
        <v>131</v>
      </c>
      <c r="E14" t="s">
        <v>127</v>
      </c>
      <c r="F14">
        <v>1</v>
      </c>
    </row>
    <row r="15" spans="1:6" x14ac:dyDescent="0.25">
      <c r="A15" t="s">
        <v>139</v>
      </c>
      <c r="B15" t="s">
        <v>9</v>
      </c>
      <c r="C15" t="s">
        <v>131</v>
      </c>
      <c r="D15" t="s">
        <v>131</v>
      </c>
      <c r="E15" t="s">
        <v>127</v>
      </c>
      <c r="F15">
        <v>1</v>
      </c>
    </row>
    <row r="16" spans="1:6" x14ac:dyDescent="0.25">
      <c r="A16" t="s">
        <v>139</v>
      </c>
      <c r="B16" t="s">
        <v>10</v>
      </c>
      <c r="C16" t="s">
        <v>131</v>
      </c>
      <c r="D16" t="s">
        <v>131</v>
      </c>
      <c r="E16" t="s">
        <v>127</v>
      </c>
      <c r="F16">
        <v>1</v>
      </c>
    </row>
    <row r="17" spans="1:6" x14ac:dyDescent="0.25">
      <c r="A17" t="s">
        <v>139</v>
      </c>
      <c r="B17" t="s">
        <v>11</v>
      </c>
      <c r="C17" t="str">
        <f>biolectorlayout!E11</f>
        <v>pCMEx8-PhoB-Lss-Stop</v>
      </c>
      <c r="D17" t="str">
        <f>biolectorlayout!B11</f>
        <v>MP7Y5R.B02</v>
      </c>
      <c r="E17" t="s">
        <v>128</v>
      </c>
      <c r="F17">
        <v>1</v>
      </c>
    </row>
    <row r="18" spans="1:6" x14ac:dyDescent="0.25">
      <c r="A18" t="s">
        <v>139</v>
      </c>
      <c r="B18" t="s">
        <v>12</v>
      </c>
      <c r="C18" t="str">
        <f>biolectorlayout!E29</f>
        <v>pCMEx8-YwaD-Lss-Stop</v>
      </c>
      <c r="D18" t="str">
        <f>biolectorlayout!B29</f>
        <v>MP7Y5R.D04</v>
      </c>
      <c r="E18" t="s">
        <v>128</v>
      </c>
      <c r="F18">
        <v>1</v>
      </c>
    </row>
    <row r="19" spans="1:6" x14ac:dyDescent="0.25">
      <c r="A19" t="s">
        <v>139</v>
      </c>
      <c r="B19" t="s">
        <v>13</v>
      </c>
      <c r="C19" t="str">
        <f>biolectorlayout!E46</f>
        <v>pCMEx8-YolA-DeimLss-Stop</v>
      </c>
      <c r="D19" t="str">
        <f>biolectorlayout!B46</f>
        <v>MP7Y5R.F05</v>
      </c>
      <c r="E19" t="s">
        <v>128</v>
      </c>
      <c r="F19">
        <v>1</v>
      </c>
    </row>
    <row r="26" spans="1:6" x14ac:dyDescent="0.25">
      <c r="A26" t="s">
        <v>139</v>
      </c>
      <c r="B26" t="s">
        <v>16</v>
      </c>
      <c r="C26" t="s">
        <v>132</v>
      </c>
      <c r="D26" t="s">
        <v>132</v>
      </c>
      <c r="E26" t="s">
        <v>127</v>
      </c>
      <c r="F26">
        <v>1</v>
      </c>
    </row>
    <row r="27" spans="1:6" x14ac:dyDescent="0.25">
      <c r="A27" t="s">
        <v>139</v>
      </c>
      <c r="B27" t="s">
        <v>17</v>
      </c>
      <c r="C27" t="s">
        <v>132</v>
      </c>
      <c r="D27" t="s">
        <v>132</v>
      </c>
      <c r="E27" t="s">
        <v>127</v>
      </c>
      <c r="F27">
        <v>1</v>
      </c>
    </row>
    <row r="28" spans="1:6" x14ac:dyDescent="0.25">
      <c r="A28" t="s">
        <v>139</v>
      </c>
      <c r="B28" t="s">
        <v>18</v>
      </c>
      <c r="C28" t="s">
        <v>132</v>
      </c>
      <c r="D28" t="s">
        <v>132</v>
      </c>
      <c r="E28" t="s">
        <v>127</v>
      </c>
      <c r="F28">
        <v>1</v>
      </c>
    </row>
    <row r="29" spans="1:6" x14ac:dyDescent="0.25">
      <c r="A29" t="s">
        <v>139</v>
      </c>
      <c r="B29" t="s">
        <v>19</v>
      </c>
      <c r="C29" t="str">
        <f>biolectorlayout!E19</f>
        <v>pCMEx8-YoaW-Lss-Stop</v>
      </c>
      <c r="D29" t="str">
        <f>biolectorlayout!B19</f>
        <v>MP7Y5R.C02</v>
      </c>
      <c r="E29" t="s">
        <v>128</v>
      </c>
      <c r="F29">
        <v>1</v>
      </c>
    </row>
    <row r="30" spans="1:6" x14ac:dyDescent="0.25">
      <c r="A30" t="s">
        <v>139</v>
      </c>
      <c r="B30" t="s">
        <v>20</v>
      </c>
      <c r="C30" t="str">
        <f>biolectorlayout!E37</f>
        <v>pCMEx8-YolA-Lss-GFP11</v>
      </c>
      <c r="D30" t="str">
        <f>biolectorlayout!B37</f>
        <v>MP7Y5R.E04</v>
      </c>
      <c r="E30" t="s">
        <v>128</v>
      </c>
      <c r="F30">
        <v>1</v>
      </c>
    </row>
    <row r="31" spans="1:6" x14ac:dyDescent="0.25">
      <c r="A31" t="s">
        <v>139</v>
      </c>
      <c r="B31" t="s">
        <v>21</v>
      </c>
      <c r="C31" t="str">
        <f>biolectorlayout!E8</f>
        <v>pCMEx8-YolA-DeimLss-Stop</v>
      </c>
      <c r="D31" t="str">
        <f>biolectorlayout!B8</f>
        <v>MP7Y5R.A07</v>
      </c>
      <c r="E31" t="s">
        <v>128</v>
      </c>
      <c r="F31">
        <v>1</v>
      </c>
    </row>
    <row r="38" spans="1:6" x14ac:dyDescent="0.25">
      <c r="A38" t="s">
        <v>139</v>
      </c>
      <c r="B38" t="s">
        <v>24</v>
      </c>
      <c r="C38" t="s">
        <v>133</v>
      </c>
      <c r="D38" t="s">
        <v>133</v>
      </c>
      <c r="E38" t="s">
        <v>127</v>
      </c>
      <c r="F38">
        <v>1</v>
      </c>
    </row>
    <row r="39" spans="1:6" x14ac:dyDescent="0.25">
      <c r="A39" t="s">
        <v>139</v>
      </c>
      <c r="B39" t="s">
        <v>25</v>
      </c>
      <c r="C39" t="s">
        <v>133</v>
      </c>
      <c r="D39" t="s">
        <v>133</v>
      </c>
      <c r="E39" t="s">
        <v>127</v>
      </c>
      <c r="F39">
        <v>1</v>
      </c>
    </row>
    <row r="40" spans="1:6" x14ac:dyDescent="0.25">
      <c r="A40" t="s">
        <v>139</v>
      </c>
      <c r="B40" t="s">
        <v>26</v>
      </c>
      <c r="C40" t="s">
        <v>133</v>
      </c>
      <c r="D40" t="s">
        <v>133</v>
      </c>
      <c r="E40" t="s">
        <v>127</v>
      </c>
      <c r="F40">
        <v>1</v>
      </c>
    </row>
    <row r="41" spans="1:6" x14ac:dyDescent="0.25">
      <c r="A41" t="s">
        <v>139</v>
      </c>
      <c r="B41" t="s">
        <v>27</v>
      </c>
      <c r="C41" t="str">
        <f>biolectorlayout!E27</f>
        <v>pCMEx8-YoaW-Lss-Stop</v>
      </c>
      <c r="D41" t="str">
        <f>biolectorlayout!B27</f>
        <v>MP7Y5R.D02</v>
      </c>
      <c r="E41" t="s">
        <v>128</v>
      </c>
      <c r="F41">
        <v>1</v>
      </c>
    </row>
    <row r="42" spans="1:6" x14ac:dyDescent="0.25">
      <c r="A42" t="s">
        <v>139</v>
      </c>
      <c r="B42" t="s">
        <v>28</v>
      </c>
      <c r="C42" t="str">
        <f>biolectorlayout!E45</f>
        <v>pCMEx8-Bsn-DeimLss-Stop</v>
      </c>
      <c r="D42" t="str">
        <f>biolectorlayout!B45</f>
        <v>MP7Y5R.F04</v>
      </c>
      <c r="E42" t="s">
        <v>128</v>
      </c>
      <c r="F42">
        <v>1</v>
      </c>
    </row>
    <row r="43" spans="1:6" x14ac:dyDescent="0.25">
      <c r="A43" t="s">
        <v>139</v>
      </c>
      <c r="B43" t="s">
        <v>29</v>
      </c>
      <c r="C43" t="str">
        <f>biolectorlayout!E16</f>
        <v>pCMEx8-YwaD-DeimLss-Stop</v>
      </c>
      <c r="D43" t="str">
        <f>biolectorlayout!B16</f>
        <v>MP7Y5R.B07</v>
      </c>
      <c r="E43" t="s">
        <v>128</v>
      </c>
      <c r="F43">
        <v>1</v>
      </c>
    </row>
    <row r="50" spans="1:6" x14ac:dyDescent="0.25">
      <c r="A50" t="s">
        <v>139</v>
      </c>
      <c r="B50" t="s">
        <v>32</v>
      </c>
      <c r="C50" t="s">
        <v>134</v>
      </c>
      <c r="D50" t="s">
        <v>134</v>
      </c>
      <c r="E50" t="s">
        <v>127</v>
      </c>
      <c r="F50">
        <v>1</v>
      </c>
    </row>
    <row r="51" spans="1:6" x14ac:dyDescent="0.25">
      <c r="A51" t="s">
        <v>139</v>
      </c>
      <c r="B51" t="s">
        <v>33</v>
      </c>
      <c r="C51" t="s">
        <v>134</v>
      </c>
      <c r="D51" t="s">
        <v>134</v>
      </c>
      <c r="E51" t="s">
        <v>127</v>
      </c>
      <c r="F51">
        <v>1</v>
      </c>
    </row>
    <row r="52" spans="1:6" x14ac:dyDescent="0.25">
      <c r="A52" t="s">
        <v>139</v>
      </c>
      <c r="B52" t="s">
        <v>34</v>
      </c>
      <c r="C52" t="s">
        <v>134</v>
      </c>
      <c r="D52" t="s">
        <v>134</v>
      </c>
      <c r="E52" t="s">
        <v>127</v>
      </c>
      <c r="F52">
        <v>1</v>
      </c>
    </row>
    <row r="53" spans="1:6" x14ac:dyDescent="0.25">
      <c r="A53" t="s">
        <v>139</v>
      </c>
      <c r="B53" t="s">
        <v>35</v>
      </c>
      <c r="C53" t="str">
        <f>biolectorlayout!E35</f>
        <v>pCMEx8-YolA-Lss-Stop</v>
      </c>
      <c r="D53" t="str">
        <f>biolectorlayout!B35</f>
        <v>MP7Y5R.E02</v>
      </c>
      <c r="E53" t="s">
        <v>128</v>
      </c>
      <c r="F53">
        <v>1</v>
      </c>
    </row>
    <row r="54" spans="1:6" x14ac:dyDescent="0.25">
      <c r="A54" t="s">
        <v>139</v>
      </c>
      <c r="B54" t="s">
        <v>36</v>
      </c>
      <c r="C54" t="str">
        <f>biolectorlayout!E6</f>
        <v>pCMEx8-NprE-DeimLss-Stop</v>
      </c>
      <c r="D54" t="str">
        <f>biolectorlayout!B6</f>
        <v>MP7Y5R.A05</v>
      </c>
      <c r="E54" t="s">
        <v>128</v>
      </c>
      <c r="F54">
        <v>1</v>
      </c>
    </row>
    <row r="55" spans="1:6" x14ac:dyDescent="0.25">
      <c r="A55" t="s">
        <v>139</v>
      </c>
      <c r="B55" t="s">
        <v>37</v>
      </c>
      <c r="C55" t="str">
        <f>biolectorlayout!E24</f>
        <v>pCMEx8-YwaD-DeimLss-Stop</v>
      </c>
      <c r="D55" t="str">
        <f>biolectorlayout!B24</f>
        <v>MP7Y5R.C07</v>
      </c>
      <c r="E55" t="s">
        <v>128</v>
      </c>
      <c r="F55">
        <v>1</v>
      </c>
    </row>
    <row r="62" spans="1:6" x14ac:dyDescent="0.25">
      <c r="A62" t="s">
        <v>139</v>
      </c>
      <c r="B62" t="s">
        <v>40</v>
      </c>
      <c r="C62" t="s">
        <v>135</v>
      </c>
      <c r="D62" t="s">
        <v>135</v>
      </c>
      <c r="E62" t="s">
        <v>127</v>
      </c>
      <c r="F62">
        <v>1</v>
      </c>
    </row>
    <row r="63" spans="1:6" x14ac:dyDescent="0.25">
      <c r="A63" t="s">
        <v>139</v>
      </c>
      <c r="B63" t="s">
        <v>41</v>
      </c>
      <c r="C63" t="s">
        <v>135</v>
      </c>
      <c r="D63" t="s">
        <v>135</v>
      </c>
      <c r="E63" t="s">
        <v>127</v>
      </c>
      <c r="F63">
        <v>1</v>
      </c>
    </row>
    <row r="64" spans="1:6" x14ac:dyDescent="0.25">
      <c r="A64" t="s">
        <v>139</v>
      </c>
      <c r="B64" t="s">
        <v>42</v>
      </c>
      <c r="C64" t="s">
        <v>135</v>
      </c>
      <c r="D64" t="s">
        <v>135</v>
      </c>
      <c r="E64" t="s">
        <v>127</v>
      </c>
      <c r="F64">
        <v>1</v>
      </c>
    </row>
    <row r="65" spans="1:6" x14ac:dyDescent="0.25">
      <c r="A65" t="s">
        <v>139</v>
      </c>
      <c r="B65" t="s">
        <v>43</v>
      </c>
      <c r="C65" t="str">
        <f>biolectorlayout!E43</f>
        <v>pCMEx8-YolA-Lss-Stop</v>
      </c>
      <c r="D65" t="str">
        <f>biolectorlayout!B43</f>
        <v>MP7Y5R.F02</v>
      </c>
      <c r="E65" t="s">
        <v>128</v>
      </c>
      <c r="F65">
        <v>1</v>
      </c>
    </row>
    <row r="66" spans="1:6" x14ac:dyDescent="0.25">
      <c r="A66" t="s">
        <v>139</v>
      </c>
      <c r="B66" t="s">
        <v>44</v>
      </c>
      <c r="C66" t="str">
        <f>biolectorlayout!E14</f>
        <v>pCMEx8-NprE-DeimLss-Stop</v>
      </c>
      <c r="D66" t="str">
        <f>biolectorlayout!B14</f>
        <v>MP7Y5R.B05</v>
      </c>
      <c r="E66" t="s">
        <v>128</v>
      </c>
      <c r="F66">
        <v>1</v>
      </c>
    </row>
    <row r="67" spans="1:6" x14ac:dyDescent="0.25">
      <c r="A67" t="s">
        <v>139</v>
      </c>
      <c r="B67" t="s">
        <v>45</v>
      </c>
      <c r="C67" t="str">
        <f>biolectorlayout!E32</f>
        <v>pCMEx8-YwaD-DeimLss-Stop</v>
      </c>
      <c r="D67" t="str">
        <f>biolectorlayout!B32</f>
        <v>MP7Y5R.D07</v>
      </c>
      <c r="E67" t="s">
        <v>128</v>
      </c>
      <c r="F67">
        <v>1</v>
      </c>
    </row>
    <row r="74" spans="1:6" x14ac:dyDescent="0.25">
      <c r="A74" t="s">
        <v>139</v>
      </c>
      <c r="B74" t="s">
        <v>75</v>
      </c>
      <c r="C74" t="s">
        <v>136</v>
      </c>
      <c r="D74" t="s">
        <v>136</v>
      </c>
      <c r="E74" t="s">
        <v>127</v>
      </c>
      <c r="F74">
        <v>1</v>
      </c>
    </row>
    <row r="75" spans="1:6" x14ac:dyDescent="0.25">
      <c r="A75" t="s">
        <v>139</v>
      </c>
      <c r="B75" t="s">
        <v>76</v>
      </c>
      <c r="C75" t="s">
        <v>136</v>
      </c>
      <c r="D75" t="s">
        <v>136</v>
      </c>
      <c r="E75" t="s">
        <v>127</v>
      </c>
      <c r="F75">
        <v>1</v>
      </c>
    </row>
    <row r="76" spans="1:6" x14ac:dyDescent="0.25">
      <c r="A76" t="s">
        <v>139</v>
      </c>
      <c r="B76" t="s">
        <v>77</v>
      </c>
      <c r="C76" t="s">
        <v>136</v>
      </c>
      <c r="D76" t="s">
        <v>136</v>
      </c>
      <c r="E76" t="s">
        <v>127</v>
      </c>
      <c r="F76">
        <v>1</v>
      </c>
    </row>
    <row r="77" spans="1:6" x14ac:dyDescent="0.25">
      <c r="A77" t="s">
        <v>139</v>
      </c>
      <c r="B77" t="s">
        <v>78</v>
      </c>
      <c r="C77" t="str">
        <f>biolectorlayout!E5</f>
        <v>pCMEx8-YolA-Lss-Stop</v>
      </c>
      <c r="D77" t="str">
        <f>biolectorlayout!B5</f>
        <v>MP7Y5R.A04</v>
      </c>
      <c r="E77" t="s">
        <v>128</v>
      </c>
      <c r="F77">
        <v>1</v>
      </c>
    </row>
    <row r="78" spans="1:6" x14ac:dyDescent="0.25">
      <c r="A78" t="s">
        <v>139</v>
      </c>
      <c r="B78" t="s">
        <v>79</v>
      </c>
      <c r="C78" t="str">
        <f>biolectorlayout!E22</f>
        <v>pCMEx8-NprE-DeimLss-Stop</v>
      </c>
      <c r="D78" t="str">
        <f>biolectorlayout!B22</f>
        <v>MP7Y5R.C05</v>
      </c>
      <c r="E78" t="s">
        <v>128</v>
      </c>
      <c r="F78">
        <v>1</v>
      </c>
    </row>
    <row r="79" spans="1:6" x14ac:dyDescent="0.25">
      <c r="A79" t="s">
        <v>139</v>
      </c>
      <c r="B79" t="s">
        <v>80</v>
      </c>
      <c r="C79" t="str">
        <f>biolectorlayout!E40</f>
        <v>pCMEx8-YwaD-DeimLss-Stop</v>
      </c>
      <c r="D79" t="str">
        <f>biolectorlayout!B40</f>
        <v>MP7Y5R.E07</v>
      </c>
      <c r="E79" t="s">
        <v>128</v>
      </c>
      <c r="F79">
        <v>1</v>
      </c>
    </row>
    <row r="86" spans="1:6" x14ac:dyDescent="0.25">
      <c r="A86" t="s">
        <v>139</v>
      </c>
      <c r="B86" t="s">
        <v>87</v>
      </c>
      <c r="C86" t="s">
        <v>137</v>
      </c>
      <c r="D86" t="s">
        <v>137</v>
      </c>
      <c r="E86" t="s">
        <v>127</v>
      </c>
      <c r="F86">
        <v>1</v>
      </c>
    </row>
    <row r="87" spans="1:6" x14ac:dyDescent="0.25">
      <c r="A87" t="s">
        <v>139</v>
      </c>
      <c r="B87" t="s">
        <v>88</v>
      </c>
      <c r="C87" t="s">
        <v>137</v>
      </c>
      <c r="D87" t="s">
        <v>137</v>
      </c>
      <c r="E87" t="s">
        <v>127</v>
      </c>
      <c r="F87">
        <v>1</v>
      </c>
    </row>
    <row r="88" spans="1:6" x14ac:dyDescent="0.25">
      <c r="A88" t="s">
        <v>139</v>
      </c>
      <c r="B88" t="s">
        <v>89</v>
      </c>
      <c r="C88" t="s">
        <v>137</v>
      </c>
      <c r="D88" t="s">
        <v>137</v>
      </c>
      <c r="E88" t="s">
        <v>127</v>
      </c>
      <c r="F88">
        <v>1</v>
      </c>
    </row>
    <row r="89" spans="1:6" x14ac:dyDescent="0.25">
      <c r="A89" t="s">
        <v>139</v>
      </c>
      <c r="B89" t="s">
        <v>90</v>
      </c>
      <c r="C89" t="str">
        <f>biolectorlayout!E13</f>
        <v>pCMEx8-YolA-Lss-Stop</v>
      </c>
      <c r="D89" t="str">
        <f>biolectorlayout!B13</f>
        <v>MP7Y5R.B04</v>
      </c>
      <c r="E89" t="s">
        <v>128</v>
      </c>
      <c r="F89">
        <v>1</v>
      </c>
    </row>
    <row r="90" spans="1:6" x14ac:dyDescent="0.25">
      <c r="A90" t="s">
        <v>139</v>
      </c>
      <c r="B90" t="s">
        <v>91</v>
      </c>
      <c r="C90" t="str">
        <f>biolectorlayout!E30</f>
        <v>pCMEx8-NprE-DeimLss-Stop</v>
      </c>
      <c r="D90" t="str">
        <f>biolectorlayout!B30</f>
        <v>MP7Y5R.D05</v>
      </c>
      <c r="E90" t="s">
        <v>128</v>
      </c>
      <c r="F90">
        <v>1</v>
      </c>
    </row>
    <row r="91" spans="1:6" x14ac:dyDescent="0.25">
      <c r="A91" t="s">
        <v>139</v>
      </c>
      <c r="B91" t="s">
        <v>92</v>
      </c>
      <c r="C91" t="str">
        <f>biolectorlayout!E48</f>
        <v>pCMEx8-NprE-Cutinase-GFP11</v>
      </c>
      <c r="D91" t="str">
        <f>biolectorlayout!B48</f>
        <v>MP7Y5R.F07</v>
      </c>
      <c r="E91" t="s">
        <v>128</v>
      </c>
      <c r="F91">
        <v>1</v>
      </c>
    </row>
  </sheetData>
  <pageMargins left="0.7" right="0.7" top="0.78740157499999996" bottom="0.78740157499999996" header="0.3" footer="0.3"/>
  <pageSetup paperSize="9" orientation="portrait" horizontalDpi="360" verticalDpi="360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E19" sqref="E19"/>
    </sheetView>
  </sheetViews>
  <sheetFormatPr baseColWidth="10" defaultColWidth="10.85546875" defaultRowHeight="15" x14ac:dyDescent="0.25"/>
  <cols>
    <col min="1" max="1" width="17.7109375" customWidth="1"/>
    <col min="2" max="2" width="18.7109375" customWidth="1"/>
    <col min="3" max="3" width="23.42578125" bestFit="1" customWidth="1"/>
  </cols>
  <sheetData>
    <row r="1" spans="1:3" x14ac:dyDescent="0.25">
      <c r="A1" t="s">
        <v>121</v>
      </c>
      <c r="B1" t="s">
        <v>148</v>
      </c>
      <c r="C1" t="s">
        <v>149</v>
      </c>
    </row>
    <row r="2" spans="1:3" x14ac:dyDescent="0.25">
      <c r="A2" s="3" t="s">
        <v>137</v>
      </c>
      <c r="B2">
        <v>0</v>
      </c>
      <c r="C2">
        <f>Tabelle78[[#This Row],[lss_concentration in µg/mL]]/26.94426</f>
        <v>0</v>
      </c>
    </row>
    <row r="3" spans="1:3" x14ac:dyDescent="0.25">
      <c r="A3" s="4" t="s">
        <v>136</v>
      </c>
      <c r="B3">
        <v>0.156</v>
      </c>
      <c r="C3">
        <f>Tabelle78[[#This Row],[lss_concentration in µg/mL]]/26.94426</f>
        <v>5.7897303544428387E-3</v>
      </c>
    </row>
    <row r="4" spans="1:3" x14ac:dyDescent="0.25">
      <c r="A4" s="4" t="s">
        <v>135</v>
      </c>
      <c r="B4">
        <v>0.313</v>
      </c>
      <c r="C4">
        <f>Tabelle78[[#This Row],[lss_concentration in µg/mL]]/26.94426</f>
        <v>1.1616574365003901E-2</v>
      </c>
    </row>
    <row r="5" spans="1:3" x14ac:dyDescent="0.25">
      <c r="A5" s="4" t="s">
        <v>134</v>
      </c>
      <c r="B5">
        <v>0.625</v>
      </c>
      <c r="C5">
        <f>Tabelle78[[#This Row],[lss_concentration in µg/mL]]/26.94426</f>
        <v>2.3196035073889579E-2</v>
      </c>
    </row>
    <row r="6" spans="1:3" x14ac:dyDescent="0.25">
      <c r="A6" s="4" t="s">
        <v>133</v>
      </c>
      <c r="B6">
        <v>1.25</v>
      </c>
      <c r="C6">
        <f>Tabelle78[[#This Row],[lss_concentration in µg/mL]]/26.94426</f>
        <v>4.6392070147779157E-2</v>
      </c>
    </row>
    <row r="7" spans="1:3" x14ac:dyDescent="0.25">
      <c r="A7" s="4" t="s">
        <v>132</v>
      </c>
      <c r="B7">
        <v>2.5</v>
      </c>
      <c r="C7">
        <f>Tabelle78[[#This Row],[lss_concentration in µg/mL]]/26.94426</f>
        <v>9.2784140295558315E-2</v>
      </c>
    </row>
    <row r="8" spans="1:3" x14ac:dyDescent="0.25">
      <c r="A8" t="s">
        <v>131</v>
      </c>
      <c r="B8">
        <v>5</v>
      </c>
      <c r="C8">
        <f>Tabelle78[[#This Row],[lss_concentration in µg/mL]]/26.94426</f>
        <v>0.18556828059111663</v>
      </c>
    </row>
    <row r="9" spans="1:3" x14ac:dyDescent="0.25">
      <c r="A9" t="s">
        <v>165</v>
      </c>
      <c r="B9">
        <v>10</v>
      </c>
      <c r="C9">
        <f>Tabelle78[[#This Row],[lss_concentration in µg/mL]]/26.94426</f>
        <v>0.37113656118223326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</vt:i4>
      </vt:variant>
    </vt:vector>
  </HeadingPairs>
  <TitlesOfParts>
    <vt:vector size="8" baseType="lpstr">
      <vt:lpstr>meta</vt:lpstr>
      <vt:lpstr>biolectorlayout</vt:lpstr>
      <vt:lpstr>biolectorplate</vt:lpstr>
      <vt:lpstr>sGFPlayout</vt:lpstr>
      <vt:lpstr>sGFPstandards</vt:lpstr>
      <vt:lpstr>turbiditylayout</vt:lpstr>
      <vt:lpstr>turbiditystandards</vt:lpstr>
      <vt:lpstr>run_id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Prigolovkin, Lisa</cp:lastModifiedBy>
  <dcterms:created xsi:type="dcterms:W3CDTF">2022-03-18T14:01:19Z</dcterms:created>
  <dcterms:modified xsi:type="dcterms:W3CDTF">2024-08-07T09:24:01Z</dcterms:modified>
</cp:coreProperties>
</file>